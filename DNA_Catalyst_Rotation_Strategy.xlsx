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2-Q3 WINDOW" sheetId="1" r:id="rId4"/>
    <sheet state="visible" name="Q3-Q4 ROTATION" sheetId="2" r:id="rId5"/>
  </sheets>
  <definedNames/>
  <calcPr/>
  <extLst>
    <ext uri="GoogleSheetsCustomDataVersion2">
      <go:sheetsCustomData xmlns:go="http://customooxmlschemas.google.com/" r:id="rId6" roundtripDataChecksum="OrpZNX554gEIHI/bq926qSxyWmtJme1WABowKXIA7jM="/>
    </ext>
  </extLst>
</workbook>
</file>

<file path=xl/sharedStrings.xml><?xml version="1.0" encoding="utf-8"?>
<sst xmlns="http://schemas.openxmlformats.org/spreadsheetml/2006/main" count="850" uniqueCount="588">
  <si>
    <t>DNA ENTERTAINMENT — Q2/Q3 CATALYST TIMELINE &amp; PROFIT-TAKING STRATEGY</t>
  </si>
  <si>
    <t>£7,000 deployed across 10 positions | April–September 2026 | Hormuz Crisis Window</t>
  </si>
  <si>
    <t>⚠️ Speculative analysis. Not financial advice. All investments carry risk including total loss. Consult a qualified advisor.</t>
  </si>
  <si>
    <t>SECTION A: CURRENT £7,000 ALLOCATION</t>
  </si>
  <si>
    <t>Rank</t>
  </si>
  <si>
    <t>Ticker</t>
  </si>
  <si>
    <t>Company</t>
  </si>
  <si>
    <t>£ Alloc</t>
  </si>
  <si>
    <t>% Fund</t>
  </si>
  <si>
    <t>Entry</t>
  </si>
  <si>
    <t>Hard Stop</t>
  </si>
  <si>
    <t>Trail Trigger (+30%)</t>
  </si>
  <si>
    <t>Squeeze Prob</t>
  </si>
  <si>
    <t>Nearest Catalyst</t>
  </si>
  <si>
    <t>Catalyst Date</t>
  </si>
  <si>
    <t>Prob</t>
  </si>
  <si>
    <t>Base Target</t>
  </si>
  <si>
    <t>Ceiling Target</t>
  </si>
  <si>
    <t>AET</t>
  </si>
  <si>
    <t>Afentra</t>
  </si>
  <si>
    <t>17%</t>
  </si>
  <si>
    <t>72p</t>
  </si>
  <si>
    <t>58p</t>
  </si>
  <si>
    <t>94p</t>
  </si>
  <si>
    <t>MED-HIGH</t>
  </si>
  <si>
    <t>Rule 2.7 bid + Pacassa SW spudding NOW</t>
  </si>
  <si>
    <t>Apr-Jun</t>
  </si>
  <si>
    <t>65%</t>
  </si>
  <si>
    <t>100p</t>
  </si>
  <si>
    <t>180p</t>
  </si>
  <si>
    <t>IMPP</t>
  </si>
  <si>
    <t>Imperial Petroleum</t>
  </si>
  <si>
    <t>16%</t>
  </si>
  <si>
    <t>$4.10</t>
  </si>
  <si>
    <t>$2.80</t>
  </si>
  <si>
    <t>$5.33</t>
  </si>
  <si>
    <t>HIGH</t>
  </si>
  <si>
    <t>Gamma squeeze Apr 17 + Q1 earnings May 22</t>
  </si>
  <si>
    <t>Apr 17</t>
  </si>
  <si>
    <t>90%</t>
  </si>
  <si>
    <t>$8.16</t>
  </si>
  <si>
    <t>$20</t>
  </si>
  <si>
    <t>GKP</t>
  </si>
  <si>
    <t>Gulf Keystone</t>
  </si>
  <si>
    <t>11%</t>
  </si>
  <si>
    <t>204p</t>
  </si>
  <si>
    <t>165p</t>
  </si>
  <si>
    <t>265p</t>
  </si>
  <si>
    <t>Dividend record Apr 10 + restart confirmed</t>
  </si>
  <si>
    <t>Apr 10</t>
  </si>
  <si>
    <t>95%</t>
  </si>
  <si>
    <t>280p</t>
  </si>
  <si>
    <t>450p</t>
  </si>
  <si>
    <t>KOS</t>
  </si>
  <si>
    <t>Kosmos Energy</t>
  </si>
  <si>
    <t>$2.40</t>
  </si>
  <si>
    <t>$1.60</t>
  </si>
  <si>
    <t>$3.12</t>
  </si>
  <si>
    <t>Johnson Rice BUY $4.25 + earnings May 12</t>
  </si>
  <si>
    <t>May 12</t>
  </si>
  <si>
    <t>85%</t>
  </si>
  <si>
    <t>$4.25</t>
  </si>
  <si>
    <t>$10</t>
  </si>
  <si>
    <t>JSE</t>
  </si>
  <si>
    <t>Jadestone Energy</t>
  </si>
  <si>
    <t>10%</t>
  </si>
  <si>
    <t>28p</t>
  </si>
  <si>
    <t>20p</t>
  </si>
  <si>
    <t>36p</t>
  </si>
  <si>
    <t>Vietnam FDP confirmed + PM323 drilling Q2</t>
  </si>
  <si>
    <t>Q2</t>
  </si>
  <si>
    <t>70%</t>
  </si>
  <si>
    <t>45p</t>
  </si>
  <si>
    <t>75p</t>
  </si>
  <si>
    <t>PXEN</t>
  </si>
  <si>
    <t>Prospex Energy</t>
  </si>
  <si>
    <t>7%</t>
  </si>
  <si>
    <t>4.85p</t>
  </si>
  <si>
    <t>3.0p</t>
  </si>
  <si>
    <t>6.3p</t>
  </si>
  <si>
    <t>El Romeral permits (MITECO review Q2)</t>
  </si>
  <si>
    <t>58%</t>
  </si>
  <si>
    <t>12p</t>
  </si>
  <si>
    <t>25p</t>
  </si>
  <si>
    <t>ENQ</t>
  </si>
  <si>
    <t>EnQuest</t>
  </si>
  <si>
    <t>13p</t>
  </si>
  <si>
    <t>9p</t>
  </si>
  <si>
    <t>17p</t>
  </si>
  <si>
    <t>Magnus 6-well infill Q2 + Serica merger</t>
  </si>
  <si>
    <t>22p</t>
  </si>
  <si>
    <t>38p</t>
  </si>
  <si>
    <t>FRO</t>
  </si>
  <si>
    <t>Frontline</t>
  </si>
  <si>
    <t>6%</t>
  </si>
  <si>
    <t>$33.78</t>
  </si>
  <si>
    <t>$25</t>
  </si>
  <si>
    <t>$43.91</t>
  </si>
  <si>
    <t>Q1 earnings May (VLCC $107k/day captured)</t>
  </si>
  <si>
    <t>May</t>
  </si>
  <si>
    <t>$42</t>
  </si>
  <si>
    <t>$70</t>
  </si>
  <si>
    <t>BOR</t>
  </si>
  <si>
    <t>Borders &amp; Southern</t>
  </si>
  <si>
    <t>10p</t>
  </si>
  <si>
    <t>5p</t>
  </si>
  <si>
    <t>Farm-out partner discussions</t>
  </si>
  <si>
    <t>Q2-Q3</t>
  </si>
  <si>
    <t>35%</t>
  </si>
  <si>
    <t>RKH</t>
  </si>
  <si>
    <t>Rockhopper</t>
  </si>
  <si>
    <t>55p</t>
  </si>
  <si>
    <t>97.5p</t>
  </si>
  <si>
    <t>Sea Lion Phase 1 milestones</t>
  </si>
  <si>
    <t>TOTAL</t>
  </si>
  <si>
    <t>SECTION B: CATALYST TIMELINE — WEEK-BY-WEEK ACTION PLAN</t>
  </si>
  <si>
    <t>Date/Period</t>
  </si>
  <si>
    <t>Phase</t>
  </si>
  <si>
    <t>Catalyst Event</t>
  </si>
  <si>
    <t>Bull Outcome</t>
  </si>
  <si>
    <t>Bear Outcome</t>
  </si>
  <si>
    <t>Action Signal</t>
  </si>
  <si>
    <t>Profit-Take Rule</t>
  </si>
  <si>
    <t>Cash Generated</t>
  </si>
  <si>
    <t>Redeploy To</t>
  </si>
  <si>
    <t>Monitor Via</t>
  </si>
  <si>
    <t>Apr 7-9</t>
  </si>
  <si>
    <t>DEPLOY</t>
  </si>
  <si>
    <t>Add £200-300 BEFORE Apr 10 record date</t>
  </si>
  <si>
    <t>Capture 12.4% dividend</t>
  </si>
  <si>
    <t>Miss dividend</t>
  </si>
  <si>
    <t>✅ BUY NOW</t>
  </si>
  <si>
    <t>N/A — adding, not selling</t>
  </si>
  <si>
    <t>—</t>
  </si>
  <si>
    <t>FreeTrade</t>
  </si>
  <si>
    <t>Add £400-500 from STAR sale BEFORE Apr 17</t>
  </si>
  <si>
    <t>Positioned for gamma squeeze</t>
  </si>
  <si>
    <t>Miss squeeze window</t>
  </si>
  <si>
    <t>CATALYST</t>
  </si>
  <si>
    <t>Dividend record date ($12.5M interim)</t>
  </si>
  <si>
    <t>Locked in. Payout Apr 27</t>
  </si>
  <si>
    <t>✅ HOLD</t>
  </si>
  <si>
    <t>Hold through — dividend guaranteed</t>
  </si>
  <si>
    <t>Investegate</t>
  </si>
  <si>
    <t>Options expiration — $5/$6 call open interest</t>
  </si>
  <si>
    <t>Gamma squeeze fires → $5-6+</t>
  </si>
  <si>
    <t>Expires flat → hold for May 22</t>
  </si>
  <si>
    <t>55%</t>
  </si>
  <si>
    <t>🎯 WATCH CLOSELY</t>
  </si>
  <si>
    <t>If hits $6+: sell 30%, trail rest at 15%</t>
  </si>
  <si>
    <t>~£330</t>
  </si>
  <si>
    <t>JSE (underweight)</t>
  </si>
  <si>
    <t>FreeTrade alerts</t>
  </si>
  <si>
    <t>Apr 27</t>
  </si>
  <si>
    <t>Dividend payment received in account</t>
  </si>
  <si>
    <t>Cash arrives. Reinvest or hold</t>
  </si>
  <si>
    <t>✅ COLLECT</t>
  </si>
  <si>
    <t>Hold shares for intl pricing catalyst</t>
  </si>
  <si>
    <t>~£18 div</t>
  </si>
  <si>
    <t>Hold as cash</t>
  </si>
  <si>
    <t>Apr-May</t>
  </si>
  <si>
    <t>Rule 2.7 formal bid announcement</t>
  </si>
  <si>
    <t>Bid 95-120p → 30-67% gain</t>
  </si>
  <si>
    <t>No offer → may retrace to 70p</t>
  </si>
  <si>
    <t>🎯 KEY EVENT</t>
  </si>
  <si>
    <t>Sell 50% at bid price. Hold 50% for counter-bid</t>
  </si>
  <si>
    <t>~£600</t>
  </si>
  <si>
    <t>Build cash reserve</t>
  </si>
  <si>
    <t>Investegate RNS</t>
  </si>
  <si>
    <t>Apr</t>
  </si>
  <si>
    <t>Pacassa SW drilling results</t>
  </si>
  <si>
    <t>Discovery → resources upgrade → bid premium up</t>
  </si>
  <si>
    <t>Dry hole → bid price lower</t>
  </si>
  <si>
    <t>🟡 HOLD THROUGH</t>
  </si>
  <si>
    <t>Hold — results inform bid premium level</t>
  </si>
  <si>
    <t>Q4/FY2025 earnings + GTA LNG update</t>
  </si>
  <si>
    <t>GTA ramp confirmed → KOS $3.50+</t>
  </si>
  <si>
    <t>Disappointing → flat</t>
  </si>
  <si>
    <t>80%</t>
  </si>
  <si>
    <t>If hits $4: sell 30%. Trail rest</t>
  </si>
  <si>
    <t>~£240</t>
  </si>
  <si>
    <t>AET (if no bid yet)</t>
  </si>
  <si>
    <t>Seeking Alpha</t>
  </si>
  <si>
    <t>May 22</t>
  </si>
  <si>
    <t>Q1 2026 earnings (peak Hormuz freight)</t>
  </si>
  <si>
    <t>EPS explosion → re-rate to $8-11</t>
  </si>
  <si>
    <t>Market ignores (dilution fear)</t>
  </si>
  <si>
    <t>🎯 CRITICAL</t>
  </si>
  <si>
    <t>If hits $8+: sell 30%. If $12+: sell another 30%</t>
  </si>
  <si>
    <t>~£330-660</t>
  </si>
  <si>
    <t>Build cash for June exit</t>
  </si>
  <si>
    <t>Q1 earnings ($107k/day VLCC captured)</t>
  </si>
  <si>
    <t>Analyst upgrades → FRO $40-50</t>
  </si>
  <si>
    <t>One-off quarter narrative</t>
  </si>
  <si>
    <t>If hits $50: sell 50%. FRO is most cyclical</t>
  </si>
  <si>
    <t>~£200</t>
  </si>
  <si>
    <t>Cash reserve</t>
  </si>
  <si>
    <t>PM323 Malaysia infill drilling results</t>
  </si>
  <si>
    <t>Production boost → JSE 35-45p</t>
  </si>
  <si>
    <t>Dry hole → flat</t>
  </si>
  <si>
    <t>If hits 45p: sell 30%. Hold rest</t>
  </si>
  <si>
    <t>~£210</t>
  </si>
  <si>
    <t>Magnus drilling results + Serica merger update</t>
  </si>
  <si>
    <t>Production beat → ENQ 18-22p</t>
  </si>
  <si>
    <t>UK tax pressure weighs</t>
  </si>
  <si>
    <t>75%</t>
  </si>
  <si>
    <t>If hits 20p: sell 30%. Hold for merger</t>
  </si>
  <si>
    <t>~£150</t>
  </si>
  <si>
    <t>El Romeral 5-well permits decision (MITECO)</t>
  </si>
  <si>
    <t>Permits granted → PXEN 8-12p</t>
  </si>
  <si>
    <t>Delayed → flat</t>
  </si>
  <si>
    <t>🟡 WATCH</t>
  </si>
  <si>
    <t>If permits: sell 30% on spike. Hold for drilling</t>
  </si>
  <si>
    <t>Sea Lion engineering milestones</t>
  </si>
  <si>
    <t>Development on track → RKH 100p+</t>
  </si>
  <si>
    <t>Delays → flat</t>
  </si>
  <si>
    <t>If hits 100p: sell 30%</t>
  </si>
  <si>
    <t>Jun 15</t>
  </si>
  <si>
    <t>DECISION</t>
  </si>
  <si>
    <t>ALL</t>
  </si>
  <si>
    <t>Oil price check — is Brent still &gt;$90?</t>
  </si>
  <si>
    <t>Yes → extend positions 2 more weeks</t>
  </si>
  <si>
    <t>No → begin immediate exit</t>
  </si>
  <si>
    <t>🔴 ASSESS</t>
  </si>
  <si>
    <t>Check EIA forecast. If oil falling, accelerate exit</t>
  </si>
  <si>
    <t>Google Alerts</t>
  </si>
  <si>
    <t>Jun 20-25</t>
  </si>
  <si>
    <t>EXIT</t>
  </si>
  <si>
    <t>BEGIN SYSTEMATIC PROFIT-TAKING</t>
  </si>
  <si>
    <t>Sell all positions down to 20-30%</t>
  </si>
  <si>
    <t>Emergency exit if oil &lt;$75</t>
  </si>
  <si>
    <t>🔴 SELL 70-80%</t>
  </si>
  <si>
    <t>Sell in 3 tranches over 5 days. Don't sell all day 1</t>
  </si>
  <si>
    <t>Varies</t>
  </si>
  <si>
    <t>CASH — build war chest</t>
  </si>
  <si>
    <t>All sources</t>
  </si>
  <si>
    <t>Jun 28</t>
  </si>
  <si>
    <t>FINAL EXIT DEADLINE — Ukraine precedent</t>
  </si>
  <si>
    <t>Fully cashed up. ~£10-16k available</t>
  </si>
  <si>
    <t>Positions retained only if catalyst imminent</t>
  </si>
  <si>
    <t>🔴 COMPLETE EXIT</t>
  </si>
  <si>
    <t>Max 20% of original positions retained with trails</t>
  </si>
  <si>
    <t>Q3/Q4 rotation</t>
  </si>
  <si>
    <t>Jul</t>
  </si>
  <si>
    <t>ROTATE</t>
  </si>
  <si>
    <t>If NO partner by June: HOLD remaining 20%</t>
  </si>
  <si>
    <t>Licence deadline Dec 2026 creates urgency</t>
  </si>
  <si>
    <t>Still no partner → risk increases</t>
  </si>
  <si>
    <t>🟡 HOLD SMALL</t>
  </si>
  <si>
    <t>Licence pressure may force deal in Q3</t>
  </si>
  <si>
    <t>Jul-Aug</t>
  </si>
  <si>
    <t>If permits granted: HOLD for drilling campaign</t>
  </si>
  <si>
    <t>5 wells begin → PXEN 15-20p</t>
  </si>
  <si>
    <t>Permits still delayed → sell remainder</t>
  </si>
  <si>
    <t>50%</t>
  </si>
  <si>
    <t>🟡 CONDITIONAL</t>
  </si>
  <si>
    <t>Hold ONLY if permits confirmed by July</t>
  </si>
  <si>
    <t>Aug-Sep</t>
  </si>
  <si>
    <t>ENQ/SQZ</t>
  </si>
  <si>
    <t>Serica-EnQuest merger completion</t>
  </si>
  <si>
    <t>Combined entity re-rates → 25p+</t>
  </si>
  <si>
    <t>Deal collapses → ENQ 12p</t>
  </si>
  <si>
    <t>🟡 HOLD FOR MERGER</t>
  </si>
  <si>
    <t>Keep ENQ position specifically for this event</t>
  </si>
  <si>
    <t>SECTION C: PROFIT RECYCLING DECISION TREE</t>
  </si>
  <si>
    <t>Step</t>
  </si>
  <si>
    <t>Question</t>
  </si>
  <si>
    <t>If YES</t>
  </si>
  <si>
    <t>If NO</t>
  </si>
  <si>
    <t>Example</t>
  </si>
  <si>
    <t>1</t>
  </si>
  <si>
    <t>Has the catalyst FIRED on this stock?</t>
  </si>
  <si>
    <t>→ Go to Step 2</t>
  </si>
  <si>
    <t>HOLD. Catalyst hasn't happened yet. Be patient.</t>
  </si>
  <si>
    <t>AET bid not announced yet → hold entire position</t>
  </si>
  <si>
    <t>2</t>
  </si>
  <si>
    <t>Take 30-50% profit immediately</t>
  </si>
  <si>
    <t>Sell 30% if moderate gain. Sell 50% if 2x+</t>
  </si>
  <si>
    <t>Never sell 100% in one go</t>
  </si>
  <si>
    <t>IMPP hits $8 → sell 30% (£330). Keep 70% with trail</t>
  </si>
  <si>
    <t>3</t>
  </si>
  <si>
    <t>Is there ANOTHER catalyst within 60 days?</t>
  </si>
  <si>
    <t>Keep 50-70% for the next catalyst</t>
  </si>
  <si>
    <t>Sell down to 20% trailing position</t>
  </si>
  <si>
    <t>AET bid fires → but drilling results still pending → keep 50%</t>
  </si>
  <si>
    <t>4</t>
  </si>
  <si>
    <t>Is it BEFORE mid-June?</t>
  </si>
  <si>
    <t>Redeploy cash into most underweight unfired catalyst</t>
  </si>
  <si>
    <t>Build cash reserve for June exit window</t>
  </si>
  <si>
    <t>April profit → put into JSE. June profit → keep as cash</t>
  </si>
  <si>
    <t>5</t>
  </si>
  <si>
    <t>Is it AFTER June 28?</t>
  </si>
  <si>
    <t>Rotate into Q3/Q4 candidates (Tab 2)</t>
  </si>
  <si>
    <t>Hold cash. Wait for entry signals</t>
  </si>
  <si>
    <t>July cash → begin Q3/Q4 rotation into new themes</t>
  </si>
  <si>
    <t>SECTION D: EXPECTED CASH GENERATION BY MONTH (BASE CASE)</t>
  </si>
  <si>
    <t>Month</t>
  </si>
  <si>
    <t>Catalyst Profits Expected</t>
  </si>
  <si>
    <t>Dividend Income</t>
  </si>
  <si>
    <t>Est. Cash Generated</t>
  </si>
  <si>
    <t>Cumulative Cash</t>
  </si>
  <si>
    <t>Action</t>
  </si>
  <si>
    <t>April</t>
  </si>
  <si>
    <t>GKP dividend + IMPP gamma squeeze (partial)</t>
  </si>
  <si>
    <t>~£18</t>
  </si>
  <si>
    <t>~£350-500</t>
  </si>
  <si>
    <t>Redeploy into underweight core</t>
  </si>
  <si>
    <t>IMPP Q1 earnings + KOS earnings + FRO Q1</t>
  </si>
  <si>
    <t>~£500-1,000</t>
  </si>
  <si>
    <t>~£850-1,500</t>
  </si>
  <si>
    <t>Redeploy or build cash for June</t>
  </si>
  <si>
    <t>June (early)</t>
  </si>
  <si>
    <t>JSE/ENQ/PXEN drilling results</t>
  </si>
  <si>
    <t>~£300-600</t>
  </si>
  <si>
    <t>~£1,150-2,100</t>
  </si>
  <si>
    <t>Begin exit preparation</t>
  </si>
  <si>
    <t>June (late)</t>
  </si>
  <si>
    <t>SYSTEMATIC EXIT — sell 70-80% of all positions</t>
  </si>
  <si>
    <t>~£5,000-10,000</t>
  </si>
  <si>
    <t>~£6,500-12,000</t>
  </si>
  <si>
    <t>Cash ready for Q3/Q4 rotation</t>
  </si>
  <si>
    <t>TOTAL Q2</t>
  </si>
  <si>
    <t>£6,500-12,000 from £7,000 deployed</t>
  </si>
  <si>
    <t>DNA ENTERTAINMENT — Q3/Q4 ROTATION STRATEGY | Post-Hormuz Catalyst Surfing</t>
  </si>
  <si>
    <t>Deploying profits from Q2 exit into the NEXT wave of catalysts | July–December 2026</t>
  </si>
  <si>
    <t>⚠️ Speculative analysis. Not financial advice. Consult a qualified advisor. Oil expected to normalise &lt;$80 by Q3 — different thesis required.</t>
  </si>
  <si>
    <t>SECTION A: POSITIONS RETAINED FROM Q2 (20-30% trail positions)</t>
  </si>
  <si>
    <t>Retained %</t>
  </si>
  <si>
    <t>~£ Value</t>
  </si>
  <si>
    <t>Q3 Catalyst</t>
  </si>
  <si>
    <t>Timing</t>
  </si>
  <si>
    <t>Why Retained</t>
  </si>
  <si>
    <t>100%</t>
  </si>
  <si>
    <t>~£500</t>
  </si>
  <si>
    <t>Partner announcement (licence deadline Dec 2026)</t>
  </si>
  <si>
    <t>Q3-Q4</t>
  </si>
  <si>
    <t>40%</t>
  </si>
  <si>
    <t>Sell 50% on RNS announcement</t>
  </si>
  <si>
    <t>Licence pressure INCREASES post-June. Binary upside intact</t>
  </si>
  <si>
    <t>~£250</t>
  </si>
  <si>
    <t>Drilling begins if Q2 permits granted</t>
  </si>
  <si>
    <t>Q3</t>
  </si>
  <si>
    <t>Sell 30% on drilling start RNS</t>
  </si>
  <si>
    <t>EU gas crisis narrative strengthens into winter</t>
  </si>
  <si>
    <t>30%</t>
  </si>
  <si>
    <t>Sell all on merger completion</t>
  </si>
  <si>
    <t>Merger creates UK's largest independent producer</t>
  </si>
  <si>
    <t>20%</t>
  </si>
  <si>
    <t>Block 3/05 drilling results + Block 3/24 FDP</t>
  </si>
  <si>
    <t>Trail with 15% stop</t>
  </si>
  <si>
    <t>Growth trajectory continues regardless of oil price</t>
  </si>
  <si>
    <t>~£100</t>
  </si>
  <si>
    <t>Sea Lion FPSO + drilling contracts confirmed</t>
  </si>
  <si>
    <t>Long-term development story. 917M bbl resource</t>
  </si>
  <si>
    <t>TOTAL RETAINED</t>
  </si>
  <si>
    <t>~£1,240</t>
  </si>
  <si>
    <t>SECTION B: NEW ROTATION CANDIDATES — Q3/Q4 THEMES</t>
  </si>
  <si>
    <t>Theme</t>
  </si>
  <si>
    <t>Company / Asset</t>
  </si>
  <si>
    <t>Exchange</t>
  </si>
  <si>
    <t>FreeTrade?</t>
  </si>
  <si>
    <t>Entry Window</t>
  </si>
  <si>
    <t>Catalyst</t>
  </si>
  <si>
    <t>Target Return</t>
  </si>
  <si>
    <t>Risk Level</t>
  </si>
  <si>
    <t>Allocation Logic</t>
  </si>
  <si>
    <t>OIL — Re-entry</t>
  </si>
  <si>
    <t>AEX</t>
  </si>
  <si>
    <t>Aminex (Ntorya gas)</t>
  </si>
  <si>
    <t>AIM</t>
  </si>
  <si>
    <t>Yes</t>
  </si>
  <si>
    <t>Jul 2026</t>
  </si>
  <si>
    <t>Pipeline completion Jul + first gas revenue Sept</t>
  </si>
  <si>
    <t>Sep 2026</t>
  </si>
  <si>
    <t>60%</t>
  </si>
  <si>
    <t>2-4x</t>
  </si>
  <si>
    <t>Re-buy what you sold in Q2 — now weeks from revenue</t>
  </si>
  <si>
    <t>PANR</t>
  </si>
  <si>
    <t>Pantheon Resources (Alaska)</t>
  </si>
  <si>
    <t>Jul-Aug 2026</t>
  </si>
  <si>
    <t>Dubhe-1 retest + Kodiak farmout</t>
  </si>
  <si>
    <t>Q3 2026</t>
  </si>
  <si>
    <t>45%</t>
  </si>
  <si>
    <t>2-5x</t>
  </si>
  <si>
    <t>Alaska LNG = national security post-Hormuz</t>
  </si>
  <si>
    <t>ECO</t>
  </si>
  <si>
    <t>Eco Atlantic (Namibia/Falklands)</t>
  </si>
  <si>
    <t>Namibia farmout progress + JHI integration</t>
  </si>
  <si>
    <t>3-5x</t>
  </si>
  <si>
    <t>Atlantic Margin exploration premium post-crisis</t>
  </si>
  <si>
    <t>URANIUM</t>
  </si>
  <si>
    <t>YCA</t>
  </si>
  <si>
    <t>Yellow Cake plc</t>
  </si>
  <si>
    <t>LSE</t>
  </si>
  <si>
    <t>Check</t>
  </si>
  <si>
    <t>Uranium spot price &gt;$100/lb + SMR approvals</t>
  </si>
  <si>
    <t>50-100%</t>
  </si>
  <si>
    <t>MOD-HIGH</t>
  </si>
  <si>
    <t>Global nuclear renaissance. UK SMR programme</t>
  </si>
  <si>
    <t>LEU</t>
  </si>
  <si>
    <t>Centrus Energy</t>
  </si>
  <si>
    <t>NASDAQ</t>
  </si>
  <si>
    <t>Aug 2026</t>
  </si>
  <si>
    <t>22.7% short interest + HALEU production ramp</t>
  </si>
  <si>
    <t>Q4 2026</t>
  </si>
  <si>
    <t>50-150%</t>
  </si>
  <si>
    <t>Squeeze candidate + strategic US nuclear asset</t>
  </si>
  <si>
    <t>KAP</t>
  </si>
  <si>
    <t>Kazatomprom (via ETF)</t>
  </si>
  <si>
    <t>World's largest uranium producer. Supply deficit</t>
  </si>
  <si>
    <t>H2 2026</t>
  </si>
  <si>
    <t>30-60%</t>
  </si>
  <si>
    <t>MOD</t>
  </si>
  <si>
    <t>Lower risk uranium exposure via ETF/GDR</t>
  </si>
  <si>
    <t>COPPER/AI</t>
  </si>
  <si>
    <t>CAML</t>
  </si>
  <si>
    <t>Central Asia Metals</t>
  </si>
  <si>
    <t>Copper supply deficit widens. AI data centre demand</t>
  </si>
  <si>
    <t>30-50%</t>
  </si>
  <si>
    <t>Copper = AI infrastructure bottleneck</t>
  </si>
  <si>
    <t>FCX</t>
  </si>
  <si>
    <t>Freeport-McMoRan</t>
  </si>
  <si>
    <t>NYSE</t>
  </si>
  <si>
    <t>World's largest public copper miner. Supply squeeze</t>
  </si>
  <si>
    <t>20-40%</t>
  </si>
  <si>
    <t>Liquid large-cap copper exposure on FreeTrade</t>
  </si>
  <si>
    <t>DEFENCE</t>
  </si>
  <si>
    <t>BA.</t>
  </si>
  <si>
    <t>BAE Systems</t>
  </si>
  <si>
    <t>NATO spending permanently elevated post-Hormuz</t>
  </si>
  <si>
    <t>15-25%</t>
  </si>
  <si>
    <t>LOW-MOD</t>
  </si>
  <si>
    <t>UK defence budget increasing. Steady compounder</t>
  </si>
  <si>
    <t>CHG</t>
  </si>
  <si>
    <t>Chemring Group</t>
  </si>
  <si>
    <t>Munitions demand. NATO restocking cycles</t>
  </si>
  <si>
    <t>Explosives/countermeasures specialist</t>
  </si>
  <si>
    <t>QQ.</t>
  </si>
  <si>
    <t>QinetiQ</t>
  </si>
  <si>
    <t>Defence technology. US/UK contracts pipeline</t>
  </si>
  <si>
    <t>15-30%</t>
  </si>
  <si>
    <t>Tech-led defence. Recurring revenue model</t>
  </si>
  <si>
    <t>GOLD</t>
  </si>
  <si>
    <t>FRES</t>
  </si>
  <si>
    <t>Fresnillo plc</t>
  </si>
  <si>
    <t>Aug-Sep 2026</t>
  </si>
  <si>
    <t>Gold &gt;$2,500. Central bank buying. Inflation hedge</t>
  </si>
  <si>
    <t>World's largest silver / major gold producer</t>
  </si>
  <si>
    <t>EDV</t>
  </si>
  <si>
    <t>Endeavour Mining</t>
  </si>
  <si>
    <t>West African gold. Production ramp + dividends</t>
  </si>
  <si>
    <t>25-40%</t>
  </si>
  <si>
    <t>Dividend-paying gold miner. Africa expertise</t>
  </si>
  <si>
    <t>LITHIUM</t>
  </si>
  <si>
    <t>ALTA</t>
  </si>
  <si>
    <t>Arcadium Lithium</t>
  </si>
  <si>
    <t>Lithium price recovery from 2025 lows</t>
  </si>
  <si>
    <t>30-80%</t>
  </si>
  <si>
    <t>Supply cuts creating squeeze. EV demand growing</t>
  </si>
  <si>
    <t>EU GAS</t>
  </si>
  <si>
    <t>Prospex (if retained)</t>
  </si>
  <si>
    <t>Already held</t>
  </si>
  <si>
    <t>EU winter gas demand + El Romeral drilling</t>
  </si>
  <si>
    <t>Same thesis, different season. Winter = peak TTF</t>
  </si>
  <si>
    <t>SECTION C: SUGGESTED £10,000-15,000 Q3/Q4 ALLOCATION (from Q2 profits)</t>
  </si>
  <si>
    <t>Bucket</t>
  </si>
  <si>
    <t>% Allocation</t>
  </si>
  <si>
    <t>£ Amount (est)</t>
  </si>
  <si>
    <t>Tickers</t>
  </si>
  <si>
    <t>Thesis</t>
  </si>
  <si>
    <t>Entry Signal</t>
  </si>
  <si>
    <t>Retained Q2 trails</t>
  </si>
  <si>
    <t>10-15%</t>
  </si>
  <si>
    <t>~£1,200</t>
  </si>
  <si>
    <t>BOR, PXEN, ENQ, AET, RKH</t>
  </si>
  <si>
    <t>Unfired catalysts from Q2 still running</t>
  </si>
  <si>
    <t>Already held — just trail stops</t>
  </si>
  <si>
    <t>Oil Re-entries</t>
  </si>
  <si>
    <t>15-20%</t>
  </si>
  <si>
    <t>~£1,500-2,000</t>
  </si>
  <si>
    <t>AEX, PANR, ECO</t>
  </si>
  <si>
    <t>Stocks sold in Q2 now approaching their own catalyst windows</t>
  </si>
  <si>
    <t>Buy when within 60 days of catalyst</t>
  </si>
  <si>
    <t>Uranium / Nuclear</t>
  </si>
  <si>
    <t>YCA, LEU, KAP</t>
  </si>
  <si>
    <t>Global nuclear renaissance. SMR approvals. HALEU demand</t>
  </si>
  <si>
    <t>Buy on Q3 entry. LEU has squeeze potential</t>
  </si>
  <si>
    <t>Copper / AI Infra</t>
  </si>
  <si>
    <t>~£1,000-1,500</t>
  </si>
  <si>
    <t>CAML, FCX</t>
  </si>
  <si>
    <t>AI data centre power demand. Copper supply deficit</t>
  </si>
  <si>
    <t>Buy Jul-Aug as AI narrative builds</t>
  </si>
  <si>
    <t>Defence</t>
  </si>
  <si>
    <t>BAE, CHG, QQ.</t>
  </si>
  <si>
    <t>NATO spending permanently elevated. UK budget increase</t>
  </si>
  <si>
    <t>Buy Jul. Most defensive bucket</t>
  </si>
  <si>
    <t>Gold / Silver</t>
  </si>
  <si>
    <t>FRES, EDV</t>
  </si>
  <si>
    <t>Inflation hedge + central bank buying + safe haven</t>
  </si>
  <si>
    <t>Buy Aug-Sep on any gold pullback</t>
  </si>
  <si>
    <t>Lithium (speculative)</t>
  </si>
  <si>
    <t>5%</t>
  </si>
  <si>
    <t>Bottom-fishing battery metals. Supply cuts creating squeeze</t>
  </si>
  <si>
    <t>Buy Sep-Oct. Highest risk bucket</t>
  </si>
  <si>
    <t>Cash Reserve</t>
  </si>
  <si>
    <t>Dry powder for reactive deployment on unexpected catalysts</t>
  </si>
  <si>
    <t>Hold. Don't rush to fill</t>
  </si>
  <si>
    <t>SECTION D: Q3/Q4 MONTH-BY-MONTH EXECUTION CALENDAR</t>
  </si>
  <si>
    <t>Key Actions</t>
  </si>
  <si>
    <t>New Positions to Open</t>
  </si>
  <si>
    <t>Positions to Monitor</t>
  </si>
  <si>
    <t>Risk Check</t>
  </si>
  <si>
    <t>July</t>
  </si>
  <si>
    <t>ROTATION START</t>
  </si>
  <si>
    <t>Q2 profits fully cashed. Begin building Q3/Q4 positions in tranches over 2 weeks</t>
  </si>
  <si>
    <t>BAE, QQ., FCX, YCA (defensive first)</t>
  </si>
  <si>
    <t>BOR (partner deadline), PXEN (drilling)</t>
  </si>
  <si>
    <t>Check: Is oil stabilising &lt;$80? If yes, rotation thesis confirmed</t>
  </si>
  <si>
    <t>August</t>
  </si>
  <si>
    <t>BUILD PHASE</t>
  </si>
  <si>
    <t>Add uranium (LEU squeeze window), copper (CAML), gold (FRES/EDV)</t>
  </si>
  <si>
    <t>LEU (pre-earnings), CAML, FRES, EDV</t>
  </si>
  <si>
    <t>ENQ/SQZ merger progress, AEX pipeline</t>
  </si>
  <si>
    <t>Check: Is uranium &gt;$100/lb? If yes, increase uranium allocation</t>
  </si>
  <si>
    <t>September</t>
  </si>
  <si>
    <t>CATALYST DENSE</t>
  </si>
  <si>
    <t>AEX first gas, PANR Dubhe retest, lithium positioning</t>
  </si>
  <si>
    <t>AEX (first gas imminent), PANR, ALTA</t>
  </si>
  <si>
    <t>All Q3 catalysts firing or failing</t>
  </si>
  <si>
    <t>Check: Review every position. Cut anything with failed catalyst</t>
  </si>
  <si>
    <t>October</t>
  </si>
  <si>
    <t>MID-REVIEW</t>
  </si>
  <si>
    <t>Reassess all positions. Q3 earnings season begins</t>
  </si>
  <si>
    <t>Trim winners, add to strongest themes</t>
  </si>
  <si>
    <t>LEU earnings, defence earnings</t>
  </si>
  <si>
    <t>Check: Is the thesis working? Adjust if needed</t>
  </si>
  <si>
    <t>November</t>
  </si>
  <si>
    <t>WINTER TRADE</t>
  </si>
  <si>
    <t>EU gas prices rising into winter. PXEN peak season if drilling</t>
  </si>
  <si>
    <t>Increase PXEN if drilling results positive</t>
  </si>
  <si>
    <t>BOR deadline approaching (Dec 2026)</t>
  </si>
  <si>
    <t>Check: BOR partner or no? Decision time approaching</t>
  </si>
  <si>
    <t>December</t>
  </si>
  <si>
    <t>YEAR-END</t>
  </si>
  <si>
    <t>BOR licence deadline. Tax-loss harvesting. Position for 2027</t>
  </si>
  <si>
    <t>Close any dead positions for tax offset</t>
  </si>
  <si>
    <t>BOR final outcome. AET ongoing growth</t>
  </si>
  <si>
    <t>Check: Total 2026 P&amp;L. Plan 2027 strategy</t>
  </si>
  <si>
    <t>SECTION E: FULL-YEAR 2026 PROFIT PROJECTION MAP</t>
  </si>
  <si>
    <t>Period</t>
  </si>
  <si>
    <t>Capital In</t>
  </si>
  <si>
    <t>Base Return</t>
  </si>
  <si>
    <t>Bull Return</t>
  </si>
  <si>
    <t>Ceiling Return</t>
  </si>
  <si>
    <t>Capital Out (est)</t>
  </si>
  <si>
    <t>Q2 HORMUZ WINDOW</t>
  </si>
  <si>
    <t>£7,000</t>
  </si>
  <si>
    <t>Oil spike + squeezes + confirmed catalysts</t>
  </si>
  <si>
    <t>£10,500 (+50%)</t>
  </si>
  <si>
    <t>£12,000 (+71%)</t>
  </si>
  <si>
    <t>£18,000 (+157%)</t>
  </si>
  <si>
    <t>£10,000-18,000</t>
  </si>
  <si>
    <t>Q3 ROTATION</t>
  </si>
  <si>
    <t>Jul-Sep</t>
  </si>
  <si>
    <t>£10,000-15,000</t>
  </si>
  <si>
    <t>Uranium + copper + defence + oil re-entries</t>
  </si>
  <si>
    <t>£12,000 (+20%)</t>
  </si>
  <si>
    <t>£15,000 (+50%)</t>
  </si>
  <si>
    <t>£22,000 (+100%)</t>
  </si>
  <si>
    <t>£12,000-22,000</t>
  </si>
  <si>
    <t>Q4 WINTER TRADE</t>
  </si>
  <si>
    <t>Oct-Dec</t>
  </si>
  <si>
    <t>£12,000-20,000</t>
  </si>
  <si>
    <t>EU gas winter + lithium + gold + BOR deadline</t>
  </si>
  <si>
    <t>£14,000 (+15%)</t>
  </si>
  <si>
    <t>£20,000 (+50%)</t>
  </si>
  <si>
    <t>£30,000 (+100%)</t>
  </si>
  <si>
    <t>£14,000-30,000</t>
  </si>
  <si>
    <t>FULL YEAR 2026</t>
  </si>
  <si>
    <t>Apr-Dec</t>
  </si>
  <si>
    <t>£7,000 initial</t>
  </si>
  <si>
    <t>Three rotations, compounding profits each phase</t>
  </si>
  <si>
    <t>£14,000 (2x)</t>
  </si>
  <si>
    <t>£20,000 (2.9x)</t>
  </si>
  <si>
    <t>£30,000+ (4.3x)</t>
  </si>
  <si>
    <t>£14k-30k+</t>
  </si>
  <si>
    <t>THE GOLDEN RULE: Never reinvest profit from a fired catalyst back into the same stock. Surf to the NEXT catalyst. Your job is to compound across three waves in 2026.</t>
  </si>
  <si>
    <t>⚠️ All projections are theoretical. Not financial advice. Past performance is not indicative of future results. Consult a qualified financial advisor before investing.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</si>
</sst>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£#,##0"/>
  </numFmts>
  <fonts count="14">
    <font>
      <sz val="11.0"/>
      <color theme="1"/>
      <name val="Calibri"/>
      <scheme val="minor"/>
    </font>
    <font>
      <b/>
      <sz val="13.0"/>
      <color rgb="FF1B2A4A"/>
      <name val="Arial"/>
    </font>
    <font>
      <i/>
      <sz val="9.0"/>
      <color rgb="FF666666"/>
      <name val="Arial"/>
    </font>
    <font>
      <i/>
      <sz val="8.0"/>
      <color rgb="FFDC2626"/>
      <name val="Arial"/>
    </font>
    <font>
      <b/>
      <sz val="12.0"/>
      <color rgb="FF1B2A4A"/>
      <name val="Arial"/>
    </font>
    <font/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16A34A"/>
      <name val="Arial"/>
    </font>
    <font>
      <b/>
      <sz val="9.0"/>
      <color rgb="FFD4A843"/>
      <name val="Arial"/>
    </font>
    <font>
      <b/>
      <sz val="9.0"/>
      <color rgb="FFDC2626"/>
      <name val="Arial"/>
    </font>
    <font>
      <b/>
      <sz val="10.0"/>
      <color rgb="FF0D9488"/>
      <name val="Arial"/>
    </font>
    <font>
      <i/>
      <sz val="9.0"/>
      <color rgb="FFDC262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1B2A4A"/>
        <bgColor rgb="FF1B2A4A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EDE9FE"/>
        <bgColor rgb="FFEDE9FE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shrinkToFit="0" vertical="top" wrapText="1"/>
    </xf>
    <xf borderId="4" fillId="4" fontId="8" numFmtId="0" xfId="0" applyAlignment="1" applyBorder="1" applyFont="1">
      <alignment shrinkToFit="0" vertical="top" wrapText="1"/>
    </xf>
    <xf borderId="4" fillId="4" fontId="9" numFmtId="0" xfId="0" applyAlignment="1" applyBorder="1" applyFont="1">
      <alignment shrinkToFit="0" vertical="top" wrapText="1"/>
    </xf>
    <xf borderId="4" fillId="4" fontId="10" numFmtId="0" xfId="0" applyAlignment="1" applyBorder="1" applyFont="1">
      <alignment shrinkToFit="0" vertical="top" wrapText="1"/>
    </xf>
    <xf borderId="4" fillId="5" fontId="7" numFmtId="0" xfId="0" applyAlignment="1" applyBorder="1" applyFill="1" applyFont="1">
      <alignment shrinkToFit="0" vertical="top" wrapText="1"/>
    </xf>
    <xf borderId="4" fillId="5" fontId="8" numFmtId="0" xfId="0" applyAlignment="1" applyBorder="1" applyFont="1">
      <alignment shrinkToFit="0" vertical="top" wrapText="1"/>
    </xf>
    <xf borderId="4" fillId="5" fontId="9" numFmtId="0" xfId="0" applyAlignment="1" applyBorder="1" applyFont="1">
      <alignment shrinkToFit="0" vertical="top" wrapText="1"/>
    </xf>
    <xf borderId="4" fillId="5" fontId="10" numFmtId="0" xfId="0" applyAlignment="1" applyBorder="1" applyFont="1">
      <alignment shrinkToFit="0" vertical="top" wrapText="1"/>
    </xf>
    <xf borderId="4" fillId="6" fontId="7" numFmtId="0" xfId="0" applyAlignment="1" applyBorder="1" applyFill="1" applyFont="1">
      <alignment shrinkToFit="0" vertical="top" wrapText="1"/>
    </xf>
    <xf borderId="4" fillId="6" fontId="8" numFmtId="0" xfId="0" applyAlignment="1" applyBorder="1" applyFont="1">
      <alignment shrinkToFit="0" vertical="top" wrapText="1"/>
    </xf>
    <xf borderId="4" fillId="6" fontId="9" numFmtId="0" xfId="0" applyAlignment="1" applyBorder="1" applyFont="1">
      <alignment shrinkToFit="0" vertical="top" wrapText="1"/>
    </xf>
    <xf borderId="4" fillId="6" fontId="10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4" fillId="0" fontId="4" numFmtId="164" xfId="0" applyAlignment="1" applyBorder="1" applyFont="1" applyNumberFormat="1">
      <alignment shrinkToFit="0" vertical="top" wrapText="1"/>
    </xf>
    <xf borderId="4" fillId="7" fontId="7" numFmtId="0" xfId="0" applyAlignment="1" applyBorder="1" applyFill="1" applyFont="1">
      <alignment shrinkToFit="0" vertical="top" wrapText="1"/>
    </xf>
    <xf borderId="4" fillId="7" fontId="8" numFmtId="0" xfId="0" applyAlignment="1" applyBorder="1" applyFont="1">
      <alignment shrinkToFit="0" vertical="top" wrapText="1"/>
    </xf>
    <xf borderId="4" fillId="7" fontId="11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shrinkToFit="0" vertical="top" wrapText="1"/>
    </xf>
    <xf borderId="4" fillId="8" fontId="7" numFmtId="0" xfId="0" applyAlignment="1" applyBorder="1" applyFill="1" applyFont="1">
      <alignment shrinkToFit="0" vertical="top" wrapText="1"/>
    </xf>
    <xf borderId="4" fillId="8" fontId="8" numFmtId="0" xfId="0" applyAlignment="1" applyBorder="1" applyFont="1">
      <alignment shrinkToFit="0" vertical="top" wrapText="1"/>
    </xf>
    <xf borderId="4" fillId="9" fontId="7" numFmtId="0" xfId="0" applyAlignment="1" applyBorder="1" applyFill="1" applyFont="1">
      <alignment shrinkToFit="0" vertical="top" wrapText="1"/>
    </xf>
    <xf borderId="4" fillId="9" fontId="8" numFmtId="0" xfId="0" applyAlignment="1" applyBorder="1" applyFont="1">
      <alignment shrinkToFit="0" vertical="top" wrapText="1"/>
    </xf>
    <xf borderId="4" fillId="9" fontId="9" numFmtId="0" xfId="0" applyAlignment="1" applyBorder="1" applyFont="1">
      <alignment shrinkToFit="0" vertical="top" wrapText="1"/>
    </xf>
    <xf borderId="4" fillId="10" fontId="7" numFmtId="0" xfId="0" applyAlignment="1" applyBorder="1" applyFill="1" applyFont="1">
      <alignment shrinkToFit="0" vertical="top" wrapText="1"/>
    </xf>
    <xf borderId="4" fillId="10" fontId="8" numFmtId="0" xfId="0" applyAlignment="1" applyBorder="1" applyFont="1">
      <alignment shrinkToFit="0" vertical="top" wrapText="1"/>
    </xf>
    <xf borderId="4" fillId="10" fontId="9" numFmtId="0" xfId="0" applyAlignment="1" applyBorder="1" applyFont="1">
      <alignment shrinkToFit="0" vertical="top" wrapText="1"/>
    </xf>
    <xf borderId="4" fillId="8" fontId="9" numFmtId="0" xfId="0" applyAlignment="1" applyBorder="1" applyFont="1">
      <alignment shrinkToFit="0" vertical="top" wrapText="1"/>
    </xf>
    <xf borderId="4" fillId="2" fontId="7" numFmtId="0" xfId="0" applyAlignment="1" applyBorder="1" applyFont="1">
      <alignment shrinkToFit="0" vertical="top" wrapText="1"/>
    </xf>
    <xf borderId="4" fillId="2" fontId="8" numFmtId="0" xfId="0" applyAlignment="1" applyBorder="1" applyFont="1">
      <alignment shrinkToFit="0" vertical="top" wrapText="1"/>
    </xf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6A34A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5.0"/>
    <col customWidth="1" min="3" max="5" width="12.0"/>
    <col customWidth="1" min="6" max="6" width="20.0"/>
    <col customWidth="1" min="7" max="7" width="5.0"/>
    <col customWidth="1" min="8" max="8" width="14.0"/>
    <col customWidth="1" min="9" max="9" width="25.0"/>
    <col customWidth="1" min="10" max="10" width="10.0"/>
    <col customWidth="1" min="11" max="12" width="12.0"/>
    <col customWidth="1" min="13" max="14" width="9.0"/>
    <col customWidth="1" min="15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</row>
    <row r="7">
      <c r="A7" s="8">
        <v>1.0</v>
      </c>
      <c r="B7" s="8" t="s">
        <v>18</v>
      </c>
      <c r="C7" s="8" t="s">
        <v>19</v>
      </c>
      <c r="D7" s="8">
        <v>1200.0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  <c r="J7" s="9" t="s">
        <v>25</v>
      </c>
      <c r="K7" s="9" t="s">
        <v>26</v>
      </c>
      <c r="L7" s="9" t="s">
        <v>27</v>
      </c>
      <c r="M7" s="10" t="s">
        <v>28</v>
      </c>
      <c r="N7" s="11" t="s">
        <v>29</v>
      </c>
    </row>
    <row r="8">
      <c r="A8" s="8">
        <v>2.0</v>
      </c>
      <c r="B8" s="8" t="s">
        <v>30</v>
      </c>
      <c r="C8" s="8" t="s">
        <v>31</v>
      </c>
      <c r="D8" s="8">
        <v>1100.0</v>
      </c>
      <c r="E8" s="9" t="s">
        <v>32</v>
      </c>
      <c r="F8" s="9" t="s">
        <v>33</v>
      </c>
      <c r="G8" s="9" t="s">
        <v>34</v>
      </c>
      <c r="H8" s="9" t="s">
        <v>35</v>
      </c>
      <c r="I8" s="9" t="s">
        <v>36</v>
      </c>
      <c r="J8" s="9" t="s">
        <v>37</v>
      </c>
      <c r="K8" s="9" t="s">
        <v>38</v>
      </c>
      <c r="L8" s="9" t="s">
        <v>39</v>
      </c>
      <c r="M8" s="10" t="s">
        <v>40</v>
      </c>
      <c r="N8" s="11" t="s">
        <v>41</v>
      </c>
    </row>
    <row r="9">
      <c r="A9" s="8">
        <v>3.0</v>
      </c>
      <c r="B9" s="8" t="s">
        <v>42</v>
      </c>
      <c r="C9" s="8" t="s">
        <v>43</v>
      </c>
      <c r="D9" s="8">
        <v>800.0</v>
      </c>
      <c r="E9" s="9" t="s">
        <v>44</v>
      </c>
      <c r="F9" s="9" t="s">
        <v>45</v>
      </c>
      <c r="G9" s="9" t="s">
        <v>46</v>
      </c>
      <c r="H9" s="9" t="s">
        <v>47</v>
      </c>
      <c r="I9" s="9" t="s">
        <v>24</v>
      </c>
      <c r="J9" s="9" t="s">
        <v>48</v>
      </c>
      <c r="K9" s="9" t="s">
        <v>49</v>
      </c>
      <c r="L9" s="9" t="s">
        <v>50</v>
      </c>
      <c r="M9" s="10" t="s">
        <v>51</v>
      </c>
      <c r="N9" s="11" t="s">
        <v>52</v>
      </c>
    </row>
    <row r="10">
      <c r="A10" s="8">
        <v>4.0</v>
      </c>
      <c r="B10" s="8" t="s">
        <v>53</v>
      </c>
      <c r="C10" s="8" t="s">
        <v>54</v>
      </c>
      <c r="D10" s="8">
        <v>800.0</v>
      </c>
      <c r="E10" s="9" t="s">
        <v>44</v>
      </c>
      <c r="F10" s="9" t="s">
        <v>55</v>
      </c>
      <c r="G10" s="9" t="s">
        <v>56</v>
      </c>
      <c r="H10" s="9" t="s">
        <v>57</v>
      </c>
      <c r="I10" s="9" t="s">
        <v>24</v>
      </c>
      <c r="J10" s="9" t="s">
        <v>58</v>
      </c>
      <c r="K10" s="9" t="s">
        <v>59</v>
      </c>
      <c r="L10" s="9" t="s">
        <v>60</v>
      </c>
      <c r="M10" s="10" t="s">
        <v>61</v>
      </c>
      <c r="N10" s="11" t="s">
        <v>62</v>
      </c>
    </row>
    <row r="11">
      <c r="A11" s="12">
        <v>5.0</v>
      </c>
      <c r="B11" s="12" t="s">
        <v>63</v>
      </c>
      <c r="C11" s="12" t="s">
        <v>64</v>
      </c>
      <c r="D11" s="12">
        <v>700.0</v>
      </c>
      <c r="E11" s="13" t="s">
        <v>65</v>
      </c>
      <c r="F11" s="13" t="s">
        <v>66</v>
      </c>
      <c r="G11" s="13" t="s">
        <v>67</v>
      </c>
      <c r="H11" s="13" t="s">
        <v>68</v>
      </c>
      <c r="I11" s="13" t="s">
        <v>24</v>
      </c>
      <c r="J11" s="13" t="s">
        <v>69</v>
      </c>
      <c r="K11" s="13" t="s">
        <v>70</v>
      </c>
      <c r="L11" s="13" t="s">
        <v>71</v>
      </c>
      <c r="M11" s="14" t="s">
        <v>72</v>
      </c>
      <c r="N11" s="15" t="s">
        <v>73</v>
      </c>
    </row>
    <row r="12">
      <c r="A12" s="12">
        <v>6.0</v>
      </c>
      <c r="B12" s="12" t="s">
        <v>74</v>
      </c>
      <c r="C12" s="12" t="s">
        <v>75</v>
      </c>
      <c r="D12" s="12">
        <v>500.0</v>
      </c>
      <c r="E12" s="13" t="s">
        <v>76</v>
      </c>
      <c r="F12" s="13" t="s">
        <v>77</v>
      </c>
      <c r="G12" s="13" t="s">
        <v>78</v>
      </c>
      <c r="H12" s="13" t="s">
        <v>79</v>
      </c>
      <c r="I12" s="13" t="s">
        <v>24</v>
      </c>
      <c r="J12" s="13" t="s">
        <v>80</v>
      </c>
      <c r="K12" s="13" t="s">
        <v>70</v>
      </c>
      <c r="L12" s="13" t="s">
        <v>81</v>
      </c>
      <c r="M12" s="14" t="s">
        <v>82</v>
      </c>
      <c r="N12" s="15" t="s">
        <v>83</v>
      </c>
    </row>
    <row r="13">
      <c r="A13" s="12">
        <v>7.0</v>
      </c>
      <c r="B13" s="12" t="s">
        <v>84</v>
      </c>
      <c r="C13" s="12" t="s">
        <v>85</v>
      </c>
      <c r="D13" s="12">
        <v>500.0</v>
      </c>
      <c r="E13" s="13" t="s">
        <v>76</v>
      </c>
      <c r="F13" s="13" t="s">
        <v>86</v>
      </c>
      <c r="G13" s="13" t="s">
        <v>87</v>
      </c>
      <c r="H13" s="13" t="s">
        <v>88</v>
      </c>
      <c r="I13" s="13" t="s">
        <v>24</v>
      </c>
      <c r="J13" s="13" t="s">
        <v>89</v>
      </c>
      <c r="K13" s="13" t="s">
        <v>70</v>
      </c>
      <c r="L13" s="13" t="s">
        <v>60</v>
      </c>
      <c r="M13" s="14" t="s">
        <v>90</v>
      </c>
      <c r="N13" s="15" t="s">
        <v>91</v>
      </c>
    </row>
    <row r="14">
      <c r="A14" s="12">
        <v>8.0</v>
      </c>
      <c r="B14" s="12" t="s">
        <v>92</v>
      </c>
      <c r="C14" s="12" t="s">
        <v>93</v>
      </c>
      <c r="D14" s="12">
        <v>400.0</v>
      </c>
      <c r="E14" s="13" t="s">
        <v>94</v>
      </c>
      <c r="F14" s="13" t="s">
        <v>95</v>
      </c>
      <c r="G14" s="13" t="s">
        <v>96</v>
      </c>
      <c r="H14" s="13" t="s">
        <v>97</v>
      </c>
      <c r="I14" s="13" t="s">
        <v>24</v>
      </c>
      <c r="J14" s="13" t="s">
        <v>98</v>
      </c>
      <c r="K14" s="13" t="s">
        <v>99</v>
      </c>
      <c r="L14" s="13" t="s">
        <v>39</v>
      </c>
      <c r="M14" s="14" t="s">
        <v>100</v>
      </c>
      <c r="N14" s="15" t="s">
        <v>101</v>
      </c>
    </row>
    <row r="15">
      <c r="A15" s="16">
        <v>9.0</v>
      </c>
      <c r="B15" s="16" t="s">
        <v>102</v>
      </c>
      <c r="C15" s="16" t="s">
        <v>103</v>
      </c>
      <c r="D15" s="16">
        <v>500.0</v>
      </c>
      <c r="E15" s="17" t="s">
        <v>76</v>
      </c>
      <c r="F15" s="17" t="s">
        <v>104</v>
      </c>
      <c r="G15" s="17" t="s">
        <v>105</v>
      </c>
      <c r="H15" s="17" t="s">
        <v>86</v>
      </c>
      <c r="I15" s="17" t="s">
        <v>24</v>
      </c>
      <c r="J15" s="17" t="s">
        <v>106</v>
      </c>
      <c r="K15" s="17" t="s">
        <v>107</v>
      </c>
      <c r="L15" s="17" t="s">
        <v>108</v>
      </c>
      <c r="M15" s="18" t="s">
        <v>83</v>
      </c>
      <c r="N15" s="19" t="s">
        <v>28</v>
      </c>
    </row>
    <row r="16">
      <c r="A16" s="16">
        <v>10.0</v>
      </c>
      <c r="B16" s="16" t="s">
        <v>109</v>
      </c>
      <c r="C16" s="16" t="s">
        <v>110</v>
      </c>
      <c r="D16" s="16">
        <v>500.0</v>
      </c>
      <c r="E16" s="17" t="s">
        <v>76</v>
      </c>
      <c r="F16" s="17" t="s">
        <v>73</v>
      </c>
      <c r="G16" s="17" t="s">
        <v>111</v>
      </c>
      <c r="H16" s="17" t="s">
        <v>112</v>
      </c>
      <c r="I16" s="17" t="s">
        <v>24</v>
      </c>
      <c r="J16" s="17" t="s">
        <v>113</v>
      </c>
      <c r="K16" s="17" t="s">
        <v>107</v>
      </c>
      <c r="L16" s="17" t="s">
        <v>60</v>
      </c>
      <c r="M16" s="18" t="s">
        <v>28</v>
      </c>
      <c r="N16" s="19" t="s">
        <v>29</v>
      </c>
    </row>
    <row r="17">
      <c r="B17" s="20" t="s">
        <v>114</v>
      </c>
      <c r="D17" s="21">
        <f>SUM(D7:D16)</f>
        <v>7000</v>
      </c>
    </row>
    <row r="19">
      <c r="A19" s="4" t="s">
        <v>115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</row>
    <row r="20">
      <c r="A20" s="7" t="s">
        <v>116</v>
      </c>
      <c r="B20" s="7" t="s">
        <v>117</v>
      </c>
      <c r="C20" s="7" t="s">
        <v>5</v>
      </c>
      <c r="D20" s="7" t="s">
        <v>118</v>
      </c>
      <c r="E20" s="7" t="s">
        <v>119</v>
      </c>
      <c r="F20" s="7" t="s">
        <v>120</v>
      </c>
      <c r="G20" s="7" t="s">
        <v>15</v>
      </c>
      <c r="H20" s="7" t="s">
        <v>121</v>
      </c>
      <c r="I20" s="7" t="s">
        <v>122</v>
      </c>
      <c r="J20" s="7" t="s">
        <v>123</v>
      </c>
      <c r="K20" s="7" t="s">
        <v>124</v>
      </c>
      <c r="L20" s="7" t="s">
        <v>125</v>
      </c>
    </row>
    <row r="21" ht="15.75" customHeight="1">
      <c r="A21" s="8" t="s">
        <v>126</v>
      </c>
      <c r="B21" s="8" t="s">
        <v>127</v>
      </c>
      <c r="C21" s="8" t="s">
        <v>42</v>
      </c>
      <c r="D21" s="9" t="s">
        <v>128</v>
      </c>
      <c r="E21" s="9" t="s">
        <v>129</v>
      </c>
      <c r="F21" s="9" t="s">
        <v>130</v>
      </c>
      <c r="G21" s="9" t="s">
        <v>50</v>
      </c>
      <c r="H21" s="10" t="s">
        <v>131</v>
      </c>
      <c r="I21" s="9" t="s">
        <v>132</v>
      </c>
      <c r="J21" s="9" t="s">
        <v>133</v>
      </c>
      <c r="K21" s="9" t="s">
        <v>133</v>
      </c>
      <c r="L21" s="9" t="s">
        <v>134</v>
      </c>
    </row>
    <row r="22" ht="15.75" customHeight="1">
      <c r="A22" s="8" t="s">
        <v>126</v>
      </c>
      <c r="B22" s="8" t="s">
        <v>127</v>
      </c>
      <c r="C22" s="8" t="s">
        <v>30</v>
      </c>
      <c r="D22" s="9" t="s">
        <v>135</v>
      </c>
      <c r="E22" s="9" t="s">
        <v>136</v>
      </c>
      <c r="F22" s="9" t="s">
        <v>137</v>
      </c>
      <c r="G22" s="9" t="s">
        <v>39</v>
      </c>
      <c r="H22" s="10" t="s">
        <v>131</v>
      </c>
      <c r="I22" s="9" t="s">
        <v>132</v>
      </c>
      <c r="J22" s="9" t="s">
        <v>133</v>
      </c>
      <c r="K22" s="9" t="s">
        <v>133</v>
      </c>
      <c r="L22" s="9" t="s">
        <v>134</v>
      </c>
    </row>
    <row r="23" ht="15.75" customHeight="1">
      <c r="A23" s="8" t="s">
        <v>49</v>
      </c>
      <c r="B23" s="8" t="s">
        <v>138</v>
      </c>
      <c r="C23" s="8" t="s">
        <v>42</v>
      </c>
      <c r="D23" s="9" t="s">
        <v>139</v>
      </c>
      <c r="E23" s="9" t="s">
        <v>140</v>
      </c>
      <c r="F23" s="9" t="s">
        <v>133</v>
      </c>
      <c r="G23" s="9" t="s">
        <v>50</v>
      </c>
      <c r="H23" s="10" t="s">
        <v>141</v>
      </c>
      <c r="I23" s="9" t="s">
        <v>142</v>
      </c>
      <c r="J23" s="9" t="s">
        <v>133</v>
      </c>
      <c r="K23" s="9" t="s">
        <v>133</v>
      </c>
      <c r="L23" s="9" t="s">
        <v>143</v>
      </c>
    </row>
    <row r="24" ht="15.75" customHeight="1">
      <c r="A24" s="8" t="s">
        <v>38</v>
      </c>
      <c r="B24" s="8" t="s">
        <v>138</v>
      </c>
      <c r="C24" s="8" t="s">
        <v>30</v>
      </c>
      <c r="D24" s="9" t="s">
        <v>144</v>
      </c>
      <c r="E24" s="9" t="s">
        <v>145</v>
      </c>
      <c r="F24" s="9" t="s">
        <v>146</v>
      </c>
      <c r="G24" s="9" t="s">
        <v>147</v>
      </c>
      <c r="H24" s="9" t="s">
        <v>148</v>
      </c>
      <c r="I24" s="9" t="s">
        <v>149</v>
      </c>
      <c r="J24" s="9" t="s">
        <v>150</v>
      </c>
      <c r="K24" s="9" t="s">
        <v>151</v>
      </c>
      <c r="L24" s="9" t="s">
        <v>152</v>
      </c>
    </row>
    <row r="25" ht="15.75" customHeight="1">
      <c r="A25" s="8" t="s">
        <v>153</v>
      </c>
      <c r="B25" s="8" t="s">
        <v>138</v>
      </c>
      <c r="C25" s="8" t="s">
        <v>42</v>
      </c>
      <c r="D25" s="9" t="s">
        <v>154</v>
      </c>
      <c r="E25" s="9" t="s">
        <v>155</v>
      </c>
      <c r="F25" s="9" t="s">
        <v>133</v>
      </c>
      <c r="G25" s="9" t="s">
        <v>50</v>
      </c>
      <c r="H25" s="10" t="s">
        <v>156</v>
      </c>
      <c r="I25" s="9" t="s">
        <v>157</v>
      </c>
      <c r="J25" s="9" t="s">
        <v>158</v>
      </c>
      <c r="K25" s="9" t="s">
        <v>159</v>
      </c>
      <c r="L25" s="9" t="s">
        <v>134</v>
      </c>
    </row>
    <row r="26" ht="15.75" customHeight="1">
      <c r="A26" s="8" t="s">
        <v>160</v>
      </c>
      <c r="B26" s="8" t="s">
        <v>138</v>
      </c>
      <c r="C26" s="8" t="s">
        <v>18</v>
      </c>
      <c r="D26" s="9" t="s">
        <v>161</v>
      </c>
      <c r="E26" s="9" t="s">
        <v>162</v>
      </c>
      <c r="F26" s="9" t="s">
        <v>163</v>
      </c>
      <c r="G26" s="9" t="s">
        <v>27</v>
      </c>
      <c r="H26" s="9" t="s">
        <v>164</v>
      </c>
      <c r="I26" s="9" t="s">
        <v>165</v>
      </c>
      <c r="J26" s="9" t="s">
        <v>166</v>
      </c>
      <c r="K26" s="9" t="s">
        <v>167</v>
      </c>
      <c r="L26" s="9" t="s">
        <v>168</v>
      </c>
    </row>
    <row r="27" ht="15.75" customHeight="1">
      <c r="A27" s="8" t="s">
        <v>169</v>
      </c>
      <c r="B27" s="8" t="s">
        <v>138</v>
      </c>
      <c r="C27" s="8" t="s">
        <v>18</v>
      </c>
      <c r="D27" s="9" t="s">
        <v>170</v>
      </c>
      <c r="E27" s="9" t="s">
        <v>171</v>
      </c>
      <c r="F27" s="9" t="s">
        <v>172</v>
      </c>
      <c r="G27" s="9" t="s">
        <v>71</v>
      </c>
      <c r="H27" s="9" t="s">
        <v>173</v>
      </c>
      <c r="I27" s="9" t="s">
        <v>174</v>
      </c>
      <c r="J27" s="9" t="s">
        <v>133</v>
      </c>
      <c r="K27" s="9" t="s">
        <v>133</v>
      </c>
      <c r="L27" s="9" t="s">
        <v>168</v>
      </c>
    </row>
    <row r="28" ht="15.75" customHeight="1">
      <c r="A28" s="12" t="s">
        <v>59</v>
      </c>
      <c r="B28" s="12" t="s">
        <v>138</v>
      </c>
      <c r="C28" s="12" t="s">
        <v>53</v>
      </c>
      <c r="D28" s="13" t="s">
        <v>175</v>
      </c>
      <c r="E28" s="13" t="s">
        <v>176</v>
      </c>
      <c r="F28" s="13" t="s">
        <v>177</v>
      </c>
      <c r="G28" s="13" t="s">
        <v>178</v>
      </c>
      <c r="H28" s="14" t="s">
        <v>141</v>
      </c>
      <c r="I28" s="13" t="s">
        <v>179</v>
      </c>
      <c r="J28" s="13" t="s">
        <v>180</v>
      </c>
      <c r="K28" s="13" t="s">
        <v>181</v>
      </c>
      <c r="L28" s="13" t="s">
        <v>182</v>
      </c>
    </row>
    <row r="29" ht="15.75" customHeight="1">
      <c r="A29" s="12" t="s">
        <v>183</v>
      </c>
      <c r="B29" s="12" t="s">
        <v>138</v>
      </c>
      <c r="C29" s="12" t="s">
        <v>30</v>
      </c>
      <c r="D29" s="13" t="s">
        <v>184</v>
      </c>
      <c r="E29" s="13" t="s">
        <v>185</v>
      </c>
      <c r="F29" s="13" t="s">
        <v>186</v>
      </c>
      <c r="G29" s="13" t="s">
        <v>39</v>
      </c>
      <c r="H29" s="13" t="s">
        <v>187</v>
      </c>
      <c r="I29" s="13" t="s">
        <v>188</v>
      </c>
      <c r="J29" s="13" t="s">
        <v>189</v>
      </c>
      <c r="K29" s="13" t="s">
        <v>190</v>
      </c>
      <c r="L29" s="13" t="s">
        <v>182</v>
      </c>
    </row>
    <row r="30" ht="15.75" customHeight="1">
      <c r="A30" s="12" t="s">
        <v>99</v>
      </c>
      <c r="B30" s="12" t="s">
        <v>138</v>
      </c>
      <c r="C30" s="12" t="s">
        <v>92</v>
      </c>
      <c r="D30" s="13" t="s">
        <v>191</v>
      </c>
      <c r="E30" s="13" t="s">
        <v>192</v>
      </c>
      <c r="F30" s="13" t="s">
        <v>193</v>
      </c>
      <c r="G30" s="13" t="s">
        <v>60</v>
      </c>
      <c r="H30" s="14" t="s">
        <v>141</v>
      </c>
      <c r="I30" s="13" t="s">
        <v>194</v>
      </c>
      <c r="J30" s="13" t="s">
        <v>195</v>
      </c>
      <c r="K30" s="13" t="s">
        <v>196</v>
      </c>
      <c r="L30" s="13" t="s">
        <v>182</v>
      </c>
    </row>
    <row r="31" ht="15.75" customHeight="1">
      <c r="A31" s="12" t="s">
        <v>70</v>
      </c>
      <c r="B31" s="12" t="s">
        <v>138</v>
      </c>
      <c r="C31" s="12" t="s">
        <v>63</v>
      </c>
      <c r="D31" s="13" t="s">
        <v>197</v>
      </c>
      <c r="E31" s="13" t="s">
        <v>198</v>
      </c>
      <c r="F31" s="13" t="s">
        <v>199</v>
      </c>
      <c r="G31" s="13" t="s">
        <v>71</v>
      </c>
      <c r="H31" s="14" t="s">
        <v>141</v>
      </c>
      <c r="I31" s="13" t="s">
        <v>200</v>
      </c>
      <c r="J31" s="13" t="s">
        <v>201</v>
      </c>
      <c r="K31" s="13" t="s">
        <v>196</v>
      </c>
      <c r="L31" s="13" t="s">
        <v>168</v>
      </c>
    </row>
    <row r="32" ht="15.75" customHeight="1">
      <c r="A32" s="12" t="s">
        <v>70</v>
      </c>
      <c r="B32" s="12" t="s">
        <v>138</v>
      </c>
      <c r="C32" s="12" t="s">
        <v>84</v>
      </c>
      <c r="D32" s="13" t="s">
        <v>202</v>
      </c>
      <c r="E32" s="13" t="s">
        <v>203</v>
      </c>
      <c r="F32" s="13" t="s">
        <v>204</v>
      </c>
      <c r="G32" s="13" t="s">
        <v>205</v>
      </c>
      <c r="H32" s="14" t="s">
        <v>141</v>
      </c>
      <c r="I32" s="13" t="s">
        <v>206</v>
      </c>
      <c r="J32" s="13" t="s">
        <v>207</v>
      </c>
      <c r="K32" s="13" t="s">
        <v>196</v>
      </c>
      <c r="L32" s="13" t="s">
        <v>168</v>
      </c>
    </row>
    <row r="33" ht="15.75" customHeight="1">
      <c r="A33" s="12" t="s">
        <v>70</v>
      </c>
      <c r="B33" s="12" t="s">
        <v>138</v>
      </c>
      <c r="C33" s="12" t="s">
        <v>74</v>
      </c>
      <c r="D33" s="13" t="s">
        <v>208</v>
      </c>
      <c r="E33" s="13" t="s">
        <v>209</v>
      </c>
      <c r="F33" s="13" t="s">
        <v>210</v>
      </c>
      <c r="G33" s="13" t="s">
        <v>147</v>
      </c>
      <c r="H33" s="13" t="s">
        <v>211</v>
      </c>
      <c r="I33" s="13" t="s">
        <v>212</v>
      </c>
      <c r="J33" s="13" t="s">
        <v>207</v>
      </c>
      <c r="K33" s="13" t="s">
        <v>196</v>
      </c>
      <c r="L33" s="13" t="s">
        <v>168</v>
      </c>
    </row>
    <row r="34" ht="15.75" customHeight="1">
      <c r="A34" s="12" t="s">
        <v>70</v>
      </c>
      <c r="B34" s="12" t="s">
        <v>138</v>
      </c>
      <c r="C34" s="12" t="s">
        <v>109</v>
      </c>
      <c r="D34" s="13" t="s">
        <v>213</v>
      </c>
      <c r="E34" s="13" t="s">
        <v>214</v>
      </c>
      <c r="F34" s="13" t="s">
        <v>215</v>
      </c>
      <c r="G34" s="13" t="s">
        <v>205</v>
      </c>
      <c r="H34" s="14" t="s">
        <v>141</v>
      </c>
      <c r="I34" s="13" t="s">
        <v>216</v>
      </c>
      <c r="J34" s="13" t="s">
        <v>207</v>
      </c>
      <c r="K34" s="13" t="s">
        <v>196</v>
      </c>
      <c r="L34" s="13" t="s">
        <v>168</v>
      </c>
    </row>
    <row r="35" ht="15.75" customHeight="1">
      <c r="A35" s="22" t="s">
        <v>217</v>
      </c>
      <c r="B35" s="22" t="s">
        <v>218</v>
      </c>
      <c r="C35" s="22" t="s">
        <v>219</v>
      </c>
      <c r="D35" s="23" t="s">
        <v>220</v>
      </c>
      <c r="E35" s="23" t="s">
        <v>221</v>
      </c>
      <c r="F35" s="23" t="s">
        <v>222</v>
      </c>
      <c r="G35" s="23" t="s">
        <v>147</v>
      </c>
      <c r="H35" s="24" t="s">
        <v>223</v>
      </c>
      <c r="I35" s="23" t="s">
        <v>224</v>
      </c>
      <c r="J35" s="23" t="s">
        <v>133</v>
      </c>
      <c r="K35" s="23" t="s">
        <v>133</v>
      </c>
      <c r="L35" s="23" t="s">
        <v>225</v>
      </c>
    </row>
    <row r="36" ht="15.75" customHeight="1">
      <c r="A36" s="22" t="s">
        <v>226</v>
      </c>
      <c r="B36" s="22" t="s">
        <v>227</v>
      </c>
      <c r="C36" s="22" t="s">
        <v>219</v>
      </c>
      <c r="D36" s="23" t="s">
        <v>228</v>
      </c>
      <c r="E36" s="23" t="s">
        <v>229</v>
      </c>
      <c r="F36" s="23" t="s">
        <v>230</v>
      </c>
      <c r="G36" s="23" t="s">
        <v>133</v>
      </c>
      <c r="H36" s="24" t="s">
        <v>231</v>
      </c>
      <c r="I36" s="23" t="s">
        <v>232</v>
      </c>
      <c r="J36" s="23" t="s">
        <v>233</v>
      </c>
      <c r="K36" s="23" t="s">
        <v>234</v>
      </c>
      <c r="L36" s="23" t="s">
        <v>235</v>
      </c>
    </row>
    <row r="37" ht="15.75" customHeight="1">
      <c r="A37" s="22" t="s">
        <v>236</v>
      </c>
      <c r="B37" s="22" t="s">
        <v>227</v>
      </c>
      <c r="C37" s="22" t="s">
        <v>219</v>
      </c>
      <c r="D37" s="23" t="s">
        <v>237</v>
      </c>
      <c r="E37" s="23" t="s">
        <v>238</v>
      </c>
      <c r="F37" s="23" t="s">
        <v>239</v>
      </c>
      <c r="G37" s="23" t="s">
        <v>133</v>
      </c>
      <c r="H37" s="24" t="s">
        <v>240</v>
      </c>
      <c r="I37" s="23" t="s">
        <v>241</v>
      </c>
      <c r="J37" s="23" t="s">
        <v>133</v>
      </c>
      <c r="K37" s="23" t="s">
        <v>242</v>
      </c>
      <c r="L37" s="23" t="s">
        <v>235</v>
      </c>
    </row>
    <row r="38" ht="15.75" customHeight="1">
      <c r="A38" s="16" t="s">
        <v>243</v>
      </c>
      <c r="B38" s="16" t="s">
        <v>244</v>
      </c>
      <c r="C38" s="16" t="s">
        <v>102</v>
      </c>
      <c r="D38" s="17" t="s">
        <v>245</v>
      </c>
      <c r="E38" s="17" t="s">
        <v>246</v>
      </c>
      <c r="F38" s="17" t="s">
        <v>247</v>
      </c>
      <c r="G38" s="17" t="s">
        <v>108</v>
      </c>
      <c r="H38" s="17" t="s">
        <v>248</v>
      </c>
      <c r="I38" s="17" t="s">
        <v>249</v>
      </c>
      <c r="J38" s="17" t="s">
        <v>133</v>
      </c>
      <c r="K38" s="17" t="s">
        <v>133</v>
      </c>
      <c r="L38" s="17" t="s">
        <v>168</v>
      </c>
    </row>
    <row r="39" ht="15.75" customHeight="1">
      <c r="A39" s="16" t="s">
        <v>250</v>
      </c>
      <c r="B39" s="16" t="s">
        <v>244</v>
      </c>
      <c r="C39" s="16" t="s">
        <v>74</v>
      </c>
      <c r="D39" s="17" t="s">
        <v>251</v>
      </c>
      <c r="E39" s="17" t="s">
        <v>252</v>
      </c>
      <c r="F39" s="17" t="s">
        <v>253</v>
      </c>
      <c r="G39" s="17" t="s">
        <v>254</v>
      </c>
      <c r="H39" s="17" t="s">
        <v>255</v>
      </c>
      <c r="I39" s="17" t="s">
        <v>256</v>
      </c>
      <c r="J39" s="17" t="s">
        <v>133</v>
      </c>
      <c r="K39" s="17" t="s">
        <v>133</v>
      </c>
      <c r="L39" s="17" t="s">
        <v>168</v>
      </c>
    </row>
    <row r="40" ht="15.75" customHeight="1">
      <c r="A40" s="16" t="s">
        <v>257</v>
      </c>
      <c r="B40" s="16" t="s">
        <v>244</v>
      </c>
      <c r="C40" s="16" t="s">
        <v>258</v>
      </c>
      <c r="D40" s="17" t="s">
        <v>259</v>
      </c>
      <c r="E40" s="17" t="s">
        <v>260</v>
      </c>
      <c r="F40" s="17" t="s">
        <v>261</v>
      </c>
      <c r="G40" s="17" t="s">
        <v>254</v>
      </c>
      <c r="H40" s="17" t="s">
        <v>262</v>
      </c>
      <c r="I40" s="17" t="s">
        <v>263</v>
      </c>
      <c r="J40" s="17" t="s">
        <v>133</v>
      </c>
      <c r="K40" s="17" t="s">
        <v>133</v>
      </c>
      <c r="L40" s="17" t="s">
        <v>168</v>
      </c>
    </row>
    <row r="41" ht="15.75" customHeight="1"/>
    <row r="42" ht="15.75" customHeight="1">
      <c r="A42" s="4" t="s">
        <v>264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/>
    </row>
    <row r="43" ht="15.75" customHeight="1">
      <c r="A43" s="7" t="s">
        <v>265</v>
      </c>
      <c r="B43" s="7" t="s">
        <v>266</v>
      </c>
      <c r="C43" s="7" t="s">
        <v>267</v>
      </c>
      <c r="D43" s="7" t="s">
        <v>268</v>
      </c>
      <c r="E43" s="7" t="s">
        <v>269</v>
      </c>
    </row>
    <row r="44" ht="15.75" customHeight="1">
      <c r="A44" s="25" t="s">
        <v>270</v>
      </c>
      <c r="B44" s="26" t="s">
        <v>271</v>
      </c>
      <c r="C44" s="27" t="s">
        <v>272</v>
      </c>
      <c r="D44" s="28" t="s">
        <v>273</v>
      </c>
      <c r="E44" s="26" t="s">
        <v>274</v>
      </c>
    </row>
    <row r="45" ht="15.75" customHeight="1">
      <c r="A45" s="25" t="s">
        <v>275</v>
      </c>
      <c r="B45" s="26" t="s">
        <v>276</v>
      </c>
      <c r="C45" s="27" t="s">
        <v>277</v>
      </c>
      <c r="D45" s="28" t="s">
        <v>278</v>
      </c>
      <c r="E45" s="26" t="s">
        <v>279</v>
      </c>
    </row>
    <row r="46" ht="15.75" customHeight="1">
      <c r="A46" s="25" t="s">
        <v>280</v>
      </c>
      <c r="B46" s="26" t="s">
        <v>281</v>
      </c>
      <c r="C46" s="27" t="s">
        <v>282</v>
      </c>
      <c r="D46" s="28" t="s">
        <v>283</v>
      </c>
      <c r="E46" s="26" t="s">
        <v>284</v>
      </c>
    </row>
    <row r="47" ht="15.75" customHeight="1">
      <c r="A47" s="25" t="s">
        <v>285</v>
      </c>
      <c r="B47" s="26" t="s">
        <v>286</v>
      </c>
      <c r="C47" s="27" t="s">
        <v>287</v>
      </c>
      <c r="D47" s="28" t="s">
        <v>288</v>
      </c>
      <c r="E47" s="26" t="s">
        <v>289</v>
      </c>
    </row>
    <row r="48" ht="15.75" customHeight="1">
      <c r="A48" s="25" t="s">
        <v>290</v>
      </c>
      <c r="B48" s="26" t="s">
        <v>291</v>
      </c>
      <c r="C48" s="27" t="s">
        <v>292</v>
      </c>
      <c r="D48" s="28" t="s">
        <v>293</v>
      </c>
      <c r="E48" s="26" t="s">
        <v>294</v>
      </c>
    </row>
    <row r="49" ht="15.75" customHeight="1"/>
    <row r="50" ht="15.75" customHeight="1">
      <c r="A50" s="4" t="s">
        <v>295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6"/>
    </row>
    <row r="51" ht="15.75" customHeight="1">
      <c r="A51" s="7" t="s">
        <v>296</v>
      </c>
      <c r="B51" s="7" t="s">
        <v>297</v>
      </c>
      <c r="C51" s="7" t="s">
        <v>298</v>
      </c>
      <c r="D51" s="7" t="s">
        <v>299</v>
      </c>
      <c r="E51" s="7" t="s">
        <v>300</v>
      </c>
      <c r="F51" s="7" t="s">
        <v>301</v>
      </c>
    </row>
    <row r="52" ht="15.75" customHeight="1">
      <c r="A52" s="8" t="s">
        <v>302</v>
      </c>
      <c r="B52" s="9" t="s">
        <v>303</v>
      </c>
      <c r="C52" s="9" t="s">
        <v>304</v>
      </c>
      <c r="D52" s="8" t="s">
        <v>305</v>
      </c>
      <c r="E52" s="8" t="s">
        <v>305</v>
      </c>
      <c r="F52" s="9" t="s">
        <v>306</v>
      </c>
    </row>
    <row r="53" ht="15.75" customHeight="1">
      <c r="A53" s="12" t="s">
        <v>99</v>
      </c>
      <c r="B53" s="13" t="s">
        <v>307</v>
      </c>
      <c r="C53" s="13" t="s">
        <v>133</v>
      </c>
      <c r="D53" s="12" t="s">
        <v>308</v>
      </c>
      <c r="E53" s="12" t="s">
        <v>309</v>
      </c>
      <c r="F53" s="13" t="s">
        <v>310</v>
      </c>
    </row>
    <row r="54" ht="15.75" customHeight="1">
      <c r="A54" s="12" t="s">
        <v>311</v>
      </c>
      <c r="B54" s="13" t="s">
        <v>312</v>
      </c>
      <c r="C54" s="13" t="s">
        <v>133</v>
      </c>
      <c r="D54" s="12" t="s">
        <v>313</v>
      </c>
      <c r="E54" s="12" t="s">
        <v>314</v>
      </c>
      <c r="F54" s="13" t="s">
        <v>315</v>
      </c>
    </row>
    <row r="55" ht="15.75" customHeight="1">
      <c r="A55" s="22" t="s">
        <v>316</v>
      </c>
      <c r="B55" s="23" t="s">
        <v>317</v>
      </c>
      <c r="C55" s="23" t="s">
        <v>133</v>
      </c>
      <c r="D55" s="22" t="s">
        <v>318</v>
      </c>
      <c r="E55" s="22" t="s">
        <v>319</v>
      </c>
      <c r="F55" s="23" t="s">
        <v>320</v>
      </c>
    </row>
    <row r="56" ht="15.75" customHeight="1">
      <c r="A56" s="29" t="s">
        <v>321</v>
      </c>
      <c r="B56" s="30"/>
      <c r="C56" s="30"/>
      <c r="D56" s="29"/>
      <c r="E56" s="29" t="s">
        <v>322</v>
      </c>
      <c r="F56" s="30" t="str">
        <f> 0% to +71% return(base to realistic)</f>
        <v>#ERROR!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N1"/>
    <mergeCell ref="A2:N2"/>
    <mergeCell ref="A3:N3"/>
    <mergeCell ref="A5:N5"/>
    <mergeCell ref="A19:N19"/>
    <mergeCell ref="A42:L42"/>
    <mergeCell ref="A50:L5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843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10.0"/>
    <col customWidth="1" min="4" max="4" width="20.0"/>
    <col customWidth="1" min="5" max="7" width="10.0"/>
    <col customWidth="1" min="8" max="8" width="12.0"/>
    <col customWidth="1" min="9" max="9" width="27.14"/>
    <col customWidth="1" min="10" max="11" width="10.0"/>
    <col customWidth="1" min="12" max="12" width="22.0"/>
    <col customWidth="1" min="13" max="26" width="8.71"/>
  </cols>
  <sheetData>
    <row r="1">
      <c r="A1" s="1" t="s">
        <v>323</v>
      </c>
    </row>
    <row r="2">
      <c r="A2" s="2" t="s">
        <v>324</v>
      </c>
    </row>
    <row r="3">
      <c r="A3" s="3" t="s">
        <v>325</v>
      </c>
    </row>
    <row r="5">
      <c r="A5" s="4" t="s">
        <v>326</v>
      </c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>
      <c r="A6" s="7" t="s">
        <v>5</v>
      </c>
      <c r="B6" s="7" t="s">
        <v>6</v>
      </c>
      <c r="C6" s="7" t="s">
        <v>327</v>
      </c>
      <c r="D6" s="7" t="s">
        <v>328</v>
      </c>
      <c r="E6" s="7" t="s">
        <v>329</v>
      </c>
      <c r="F6" s="7" t="s">
        <v>330</v>
      </c>
      <c r="G6" s="7" t="s">
        <v>15</v>
      </c>
      <c r="H6" s="7" t="s">
        <v>122</v>
      </c>
      <c r="I6" s="7" t="s">
        <v>331</v>
      </c>
    </row>
    <row r="7">
      <c r="A7" s="16" t="s">
        <v>102</v>
      </c>
      <c r="B7" s="16" t="s">
        <v>103</v>
      </c>
      <c r="C7" s="17" t="s">
        <v>332</v>
      </c>
      <c r="D7" s="17" t="s">
        <v>333</v>
      </c>
      <c r="E7" s="17" t="s">
        <v>334</v>
      </c>
      <c r="F7" s="17" t="s">
        <v>335</v>
      </c>
      <c r="G7" s="17" t="s">
        <v>336</v>
      </c>
      <c r="H7" s="17" t="s">
        <v>337</v>
      </c>
      <c r="I7" s="17" t="s">
        <v>338</v>
      </c>
    </row>
    <row r="8">
      <c r="A8" s="16" t="s">
        <v>74</v>
      </c>
      <c r="B8" s="16" t="s">
        <v>75</v>
      </c>
      <c r="C8" s="17" t="s">
        <v>254</v>
      </c>
      <c r="D8" s="17" t="s">
        <v>339</v>
      </c>
      <c r="E8" s="17" t="s">
        <v>340</v>
      </c>
      <c r="F8" s="17" t="s">
        <v>341</v>
      </c>
      <c r="G8" s="17" t="s">
        <v>147</v>
      </c>
      <c r="H8" s="17" t="s">
        <v>342</v>
      </c>
      <c r="I8" s="17" t="s">
        <v>343</v>
      </c>
    </row>
    <row r="9">
      <c r="A9" s="31" t="s">
        <v>84</v>
      </c>
      <c r="B9" s="31" t="s">
        <v>85</v>
      </c>
      <c r="C9" s="32" t="s">
        <v>344</v>
      </c>
      <c r="D9" s="32" t="s">
        <v>207</v>
      </c>
      <c r="E9" s="32" t="s">
        <v>259</v>
      </c>
      <c r="F9" s="32" t="s">
        <v>341</v>
      </c>
      <c r="G9" s="32" t="s">
        <v>254</v>
      </c>
      <c r="H9" s="32" t="s">
        <v>345</v>
      </c>
      <c r="I9" s="32" t="s">
        <v>346</v>
      </c>
    </row>
    <row r="10">
      <c r="A10" s="31" t="s">
        <v>18</v>
      </c>
      <c r="B10" s="31" t="s">
        <v>19</v>
      </c>
      <c r="C10" s="32" t="s">
        <v>347</v>
      </c>
      <c r="D10" s="32" t="s">
        <v>180</v>
      </c>
      <c r="E10" s="32" t="s">
        <v>348</v>
      </c>
      <c r="F10" s="32" t="s">
        <v>335</v>
      </c>
      <c r="G10" s="32" t="s">
        <v>71</v>
      </c>
      <c r="H10" s="32" t="s">
        <v>349</v>
      </c>
      <c r="I10" s="32" t="s">
        <v>350</v>
      </c>
    </row>
    <row r="11">
      <c r="A11" s="31" t="s">
        <v>109</v>
      </c>
      <c r="B11" s="31" t="s">
        <v>110</v>
      </c>
      <c r="C11" s="32" t="s">
        <v>347</v>
      </c>
      <c r="D11" s="32" t="s">
        <v>351</v>
      </c>
      <c r="E11" s="32" t="s">
        <v>352</v>
      </c>
      <c r="F11" s="32" t="s">
        <v>335</v>
      </c>
      <c r="G11" s="32" t="s">
        <v>71</v>
      </c>
      <c r="H11" s="32" t="s">
        <v>349</v>
      </c>
      <c r="I11" s="32" t="s">
        <v>353</v>
      </c>
    </row>
    <row r="12">
      <c r="A12" s="20" t="s">
        <v>354</v>
      </c>
      <c r="D12" s="20" t="s">
        <v>355</v>
      </c>
    </row>
    <row r="14">
      <c r="A14" s="4" t="s">
        <v>356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>
      <c r="A15" s="7" t="s">
        <v>357</v>
      </c>
      <c r="B15" s="7" t="s">
        <v>5</v>
      </c>
      <c r="C15" s="7" t="s">
        <v>358</v>
      </c>
      <c r="D15" s="7" t="s">
        <v>359</v>
      </c>
      <c r="E15" s="7" t="s">
        <v>360</v>
      </c>
      <c r="F15" s="7" t="s">
        <v>361</v>
      </c>
      <c r="G15" s="7" t="s">
        <v>362</v>
      </c>
      <c r="H15" s="7" t="s">
        <v>330</v>
      </c>
      <c r="I15" s="7" t="s">
        <v>15</v>
      </c>
      <c r="J15" s="7" t="s">
        <v>363</v>
      </c>
      <c r="K15" s="7" t="s">
        <v>364</v>
      </c>
      <c r="L15" s="7" t="s">
        <v>365</v>
      </c>
    </row>
    <row r="16">
      <c r="A16" s="31" t="s">
        <v>366</v>
      </c>
      <c r="B16" s="31" t="s">
        <v>367</v>
      </c>
      <c r="C16" s="31" t="s">
        <v>368</v>
      </c>
      <c r="D16" s="32" t="s">
        <v>369</v>
      </c>
      <c r="E16" s="32" t="s">
        <v>370</v>
      </c>
      <c r="F16" s="32" t="s">
        <v>371</v>
      </c>
      <c r="G16" s="32" t="s">
        <v>372</v>
      </c>
      <c r="H16" s="32" t="s">
        <v>373</v>
      </c>
      <c r="I16" s="32" t="s">
        <v>374</v>
      </c>
      <c r="J16" s="33" t="s">
        <v>375</v>
      </c>
      <c r="K16" s="32" t="s">
        <v>36</v>
      </c>
      <c r="L16" s="32" t="s">
        <v>376</v>
      </c>
    </row>
    <row r="17">
      <c r="A17" s="31" t="s">
        <v>366</v>
      </c>
      <c r="B17" s="31" t="s">
        <v>377</v>
      </c>
      <c r="C17" s="31" t="s">
        <v>378</v>
      </c>
      <c r="D17" s="32" t="s">
        <v>369</v>
      </c>
      <c r="E17" s="32" t="s">
        <v>370</v>
      </c>
      <c r="F17" s="32" t="s">
        <v>379</v>
      </c>
      <c r="G17" s="32" t="s">
        <v>380</v>
      </c>
      <c r="H17" s="32" t="s">
        <v>381</v>
      </c>
      <c r="I17" s="32" t="s">
        <v>382</v>
      </c>
      <c r="J17" s="33" t="s">
        <v>383</v>
      </c>
      <c r="K17" s="32" t="s">
        <v>36</v>
      </c>
      <c r="L17" s="32" t="s">
        <v>384</v>
      </c>
    </row>
    <row r="18">
      <c r="A18" s="31" t="s">
        <v>366</v>
      </c>
      <c r="B18" s="31" t="s">
        <v>385</v>
      </c>
      <c r="C18" s="31" t="s">
        <v>386</v>
      </c>
      <c r="D18" s="32" t="s">
        <v>369</v>
      </c>
      <c r="E18" s="32" t="s">
        <v>370</v>
      </c>
      <c r="F18" s="32" t="s">
        <v>371</v>
      </c>
      <c r="G18" s="32" t="s">
        <v>387</v>
      </c>
      <c r="H18" s="32" t="s">
        <v>335</v>
      </c>
      <c r="I18" s="32" t="s">
        <v>254</v>
      </c>
      <c r="J18" s="33" t="s">
        <v>388</v>
      </c>
      <c r="K18" s="32" t="s">
        <v>36</v>
      </c>
      <c r="L18" s="32" t="s">
        <v>389</v>
      </c>
    </row>
    <row r="19">
      <c r="A19" s="34" t="s">
        <v>390</v>
      </c>
      <c r="B19" s="34" t="s">
        <v>391</v>
      </c>
      <c r="C19" s="34" t="s">
        <v>392</v>
      </c>
      <c r="D19" s="35" t="s">
        <v>393</v>
      </c>
      <c r="E19" s="35" t="s">
        <v>394</v>
      </c>
      <c r="F19" s="35" t="s">
        <v>379</v>
      </c>
      <c r="G19" s="35" t="s">
        <v>395</v>
      </c>
      <c r="H19" s="35" t="s">
        <v>335</v>
      </c>
      <c r="I19" s="35" t="s">
        <v>27</v>
      </c>
      <c r="J19" s="36" t="s">
        <v>396</v>
      </c>
      <c r="K19" s="35" t="s">
        <v>397</v>
      </c>
      <c r="L19" s="35" t="s">
        <v>398</v>
      </c>
    </row>
    <row r="20">
      <c r="A20" s="34" t="s">
        <v>390</v>
      </c>
      <c r="B20" s="34" t="s">
        <v>399</v>
      </c>
      <c r="C20" s="34" t="s">
        <v>400</v>
      </c>
      <c r="D20" s="35" t="s">
        <v>401</v>
      </c>
      <c r="E20" s="35" t="s">
        <v>370</v>
      </c>
      <c r="F20" s="35" t="s">
        <v>402</v>
      </c>
      <c r="G20" s="35" t="s">
        <v>403</v>
      </c>
      <c r="H20" s="35" t="s">
        <v>404</v>
      </c>
      <c r="I20" s="35" t="s">
        <v>147</v>
      </c>
      <c r="J20" s="36" t="s">
        <v>405</v>
      </c>
      <c r="K20" s="35" t="s">
        <v>36</v>
      </c>
      <c r="L20" s="35" t="s">
        <v>406</v>
      </c>
    </row>
    <row r="21" ht="15.75" customHeight="1">
      <c r="A21" s="34" t="s">
        <v>390</v>
      </c>
      <c r="B21" s="34" t="s">
        <v>407</v>
      </c>
      <c r="C21" s="34" t="s">
        <v>408</v>
      </c>
      <c r="D21" s="35" t="s">
        <v>393</v>
      </c>
      <c r="E21" s="35" t="s">
        <v>394</v>
      </c>
      <c r="F21" s="35" t="s">
        <v>371</v>
      </c>
      <c r="G21" s="35" t="s">
        <v>409</v>
      </c>
      <c r="H21" s="35" t="s">
        <v>410</v>
      </c>
      <c r="I21" s="35" t="s">
        <v>374</v>
      </c>
      <c r="J21" s="36" t="s">
        <v>411</v>
      </c>
      <c r="K21" s="35" t="s">
        <v>412</v>
      </c>
      <c r="L21" s="35" t="s">
        <v>413</v>
      </c>
    </row>
    <row r="22" ht="15.75" customHeight="1">
      <c r="A22" s="12" t="s">
        <v>414</v>
      </c>
      <c r="B22" s="12" t="s">
        <v>415</v>
      </c>
      <c r="C22" s="12" t="s">
        <v>416</v>
      </c>
      <c r="D22" s="13" t="s">
        <v>369</v>
      </c>
      <c r="E22" s="13" t="s">
        <v>394</v>
      </c>
      <c r="F22" s="13" t="s">
        <v>402</v>
      </c>
      <c r="G22" s="13" t="s">
        <v>417</v>
      </c>
      <c r="H22" s="13" t="s">
        <v>410</v>
      </c>
      <c r="I22" s="13" t="s">
        <v>374</v>
      </c>
      <c r="J22" s="14" t="s">
        <v>418</v>
      </c>
      <c r="K22" s="13" t="s">
        <v>412</v>
      </c>
      <c r="L22" s="13" t="s">
        <v>419</v>
      </c>
    </row>
    <row r="23" ht="15.75" customHeight="1">
      <c r="A23" s="12" t="s">
        <v>414</v>
      </c>
      <c r="B23" s="12" t="s">
        <v>420</v>
      </c>
      <c r="C23" s="12" t="s">
        <v>421</v>
      </c>
      <c r="D23" s="13" t="s">
        <v>422</v>
      </c>
      <c r="E23" s="13" t="s">
        <v>370</v>
      </c>
      <c r="F23" s="13" t="s">
        <v>379</v>
      </c>
      <c r="G23" s="13" t="s">
        <v>423</v>
      </c>
      <c r="H23" s="13" t="s">
        <v>410</v>
      </c>
      <c r="I23" s="13" t="s">
        <v>27</v>
      </c>
      <c r="J23" s="14" t="s">
        <v>424</v>
      </c>
      <c r="K23" s="13" t="s">
        <v>412</v>
      </c>
      <c r="L23" s="13" t="s">
        <v>425</v>
      </c>
    </row>
    <row r="24" ht="15.75" customHeight="1">
      <c r="A24" s="8" t="s">
        <v>426</v>
      </c>
      <c r="B24" s="8" t="s">
        <v>427</v>
      </c>
      <c r="C24" s="8" t="s">
        <v>428</v>
      </c>
      <c r="D24" s="9" t="s">
        <v>393</v>
      </c>
      <c r="E24" s="9" t="s">
        <v>370</v>
      </c>
      <c r="F24" s="9" t="s">
        <v>371</v>
      </c>
      <c r="G24" s="9" t="s">
        <v>429</v>
      </c>
      <c r="H24" s="9" t="s">
        <v>410</v>
      </c>
      <c r="I24" s="9" t="s">
        <v>178</v>
      </c>
      <c r="J24" s="10" t="s">
        <v>430</v>
      </c>
      <c r="K24" s="9" t="s">
        <v>431</v>
      </c>
      <c r="L24" s="9" t="s">
        <v>432</v>
      </c>
    </row>
    <row r="25" ht="15.75" customHeight="1">
      <c r="A25" s="8" t="s">
        <v>426</v>
      </c>
      <c r="B25" s="8" t="s">
        <v>433</v>
      </c>
      <c r="C25" s="8" t="s">
        <v>434</v>
      </c>
      <c r="D25" s="9" t="s">
        <v>393</v>
      </c>
      <c r="E25" s="9" t="s">
        <v>394</v>
      </c>
      <c r="F25" s="9" t="s">
        <v>371</v>
      </c>
      <c r="G25" s="9" t="s">
        <v>435</v>
      </c>
      <c r="H25" s="9" t="s">
        <v>410</v>
      </c>
      <c r="I25" s="9" t="s">
        <v>71</v>
      </c>
      <c r="J25" s="10" t="s">
        <v>424</v>
      </c>
      <c r="K25" s="9" t="s">
        <v>412</v>
      </c>
      <c r="L25" s="9" t="s">
        <v>436</v>
      </c>
    </row>
    <row r="26" ht="15.75" customHeight="1">
      <c r="A26" s="8" t="s">
        <v>426</v>
      </c>
      <c r="B26" s="8" t="s">
        <v>437</v>
      </c>
      <c r="C26" s="8" t="s">
        <v>438</v>
      </c>
      <c r="D26" s="9" t="s">
        <v>393</v>
      </c>
      <c r="E26" s="9" t="s">
        <v>370</v>
      </c>
      <c r="F26" s="9" t="s">
        <v>371</v>
      </c>
      <c r="G26" s="9" t="s">
        <v>439</v>
      </c>
      <c r="H26" s="9" t="s">
        <v>410</v>
      </c>
      <c r="I26" s="9" t="s">
        <v>71</v>
      </c>
      <c r="J26" s="10" t="s">
        <v>440</v>
      </c>
      <c r="K26" s="9" t="s">
        <v>431</v>
      </c>
      <c r="L26" s="9" t="s">
        <v>441</v>
      </c>
    </row>
    <row r="27" ht="15.75" customHeight="1">
      <c r="A27" s="29" t="s">
        <v>442</v>
      </c>
      <c r="B27" s="29" t="s">
        <v>443</v>
      </c>
      <c r="C27" s="29" t="s">
        <v>444</v>
      </c>
      <c r="D27" s="30" t="s">
        <v>393</v>
      </c>
      <c r="E27" s="30" t="s">
        <v>370</v>
      </c>
      <c r="F27" s="30" t="s">
        <v>445</v>
      </c>
      <c r="G27" s="30" t="s">
        <v>446</v>
      </c>
      <c r="H27" s="30" t="s">
        <v>410</v>
      </c>
      <c r="I27" s="30" t="s">
        <v>374</v>
      </c>
      <c r="J27" s="37" t="s">
        <v>424</v>
      </c>
      <c r="K27" s="30" t="s">
        <v>412</v>
      </c>
      <c r="L27" s="30" t="s">
        <v>447</v>
      </c>
    </row>
    <row r="28" ht="15.75" customHeight="1">
      <c r="A28" s="29" t="s">
        <v>442</v>
      </c>
      <c r="B28" s="29" t="s">
        <v>448</v>
      </c>
      <c r="C28" s="29" t="s">
        <v>449</v>
      </c>
      <c r="D28" s="30" t="s">
        <v>393</v>
      </c>
      <c r="E28" s="30" t="s">
        <v>370</v>
      </c>
      <c r="F28" s="30" t="s">
        <v>402</v>
      </c>
      <c r="G28" s="30" t="s">
        <v>450</v>
      </c>
      <c r="H28" s="30" t="s">
        <v>410</v>
      </c>
      <c r="I28" s="30" t="s">
        <v>27</v>
      </c>
      <c r="J28" s="37" t="s">
        <v>451</v>
      </c>
      <c r="K28" s="30" t="s">
        <v>412</v>
      </c>
      <c r="L28" s="30" t="s">
        <v>452</v>
      </c>
    </row>
    <row r="29" ht="15.75" customHeight="1">
      <c r="A29" s="16" t="s">
        <v>453</v>
      </c>
      <c r="B29" s="16" t="s">
        <v>454</v>
      </c>
      <c r="C29" s="16" t="s">
        <v>455</v>
      </c>
      <c r="D29" s="17" t="s">
        <v>422</v>
      </c>
      <c r="E29" s="17" t="s">
        <v>394</v>
      </c>
      <c r="F29" s="17" t="s">
        <v>373</v>
      </c>
      <c r="G29" s="17" t="s">
        <v>456</v>
      </c>
      <c r="H29" s="17" t="s">
        <v>404</v>
      </c>
      <c r="I29" s="17" t="s">
        <v>382</v>
      </c>
      <c r="J29" s="18" t="s">
        <v>457</v>
      </c>
      <c r="K29" s="17" t="s">
        <v>36</v>
      </c>
      <c r="L29" s="17" t="s">
        <v>458</v>
      </c>
    </row>
    <row r="30" ht="15.75" customHeight="1">
      <c r="A30" s="16" t="s">
        <v>459</v>
      </c>
      <c r="B30" s="16" t="s">
        <v>74</v>
      </c>
      <c r="C30" s="16" t="s">
        <v>460</v>
      </c>
      <c r="D30" s="17" t="s">
        <v>369</v>
      </c>
      <c r="E30" s="17" t="s">
        <v>370</v>
      </c>
      <c r="F30" s="17" t="s">
        <v>461</v>
      </c>
      <c r="G30" s="17" t="s">
        <v>462</v>
      </c>
      <c r="H30" s="17" t="s">
        <v>404</v>
      </c>
      <c r="I30" s="17" t="s">
        <v>147</v>
      </c>
      <c r="J30" s="18" t="s">
        <v>383</v>
      </c>
      <c r="K30" s="17" t="s">
        <v>36</v>
      </c>
      <c r="L30" s="17" t="s">
        <v>463</v>
      </c>
    </row>
    <row r="31" ht="15.75" customHeight="1"/>
    <row r="32" ht="15.75" customHeight="1">
      <c r="A32" s="4" t="s">
        <v>464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ht="15.75" customHeight="1">
      <c r="A33" s="7" t="s">
        <v>465</v>
      </c>
      <c r="B33" s="7" t="s">
        <v>466</v>
      </c>
      <c r="C33" s="7" t="s">
        <v>467</v>
      </c>
      <c r="D33" s="7" t="s">
        <v>468</v>
      </c>
      <c r="E33" s="7" t="s">
        <v>469</v>
      </c>
      <c r="F33" s="7" t="s">
        <v>470</v>
      </c>
    </row>
    <row r="34" ht="15.75" customHeight="1">
      <c r="A34" s="31" t="s">
        <v>471</v>
      </c>
      <c r="B34" s="31" t="s">
        <v>472</v>
      </c>
      <c r="C34" s="31" t="s">
        <v>473</v>
      </c>
      <c r="D34" s="32" t="s">
        <v>474</v>
      </c>
      <c r="E34" s="32" t="s">
        <v>475</v>
      </c>
      <c r="F34" s="32" t="s">
        <v>476</v>
      </c>
    </row>
    <row r="35" ht="15.75" customHeight="1">
      <c r="A35" s="31" t="s">
        <v>477</v>
      </c>
      <c r="B35" s="31" t="s">
        <v>478</v>
      </c>
      <c r="C35" s="31" t="s">
        <v>479</v>
      </c>
      <c r="D35" s="32" t="s">
        <v>480</v>
      </c>
      <c r="E35" s="32" t="s">
        <v>481</v>
      </c>
      <c r="F35" s="32" t="s">
        <v>482</v>
      </c>
    </row>
    <row r="36" ht="15.75" customHeight="1">
      <c r="A36" s="34" t="s">
        <v>483</v>
      </c>
      <c r="B36" s="34" t="s">
        <v>478</v>
      </c>
      <c r="C36" s="34" t="s">
        <v>479</v>
      </c>
      <c r="D36" s="35" t="s">
        <v>484</v>
      </c>
      <c r="E36" s="35" t="s">
        <v>485</v>
      </c>
      <c r="F36" s="35" t="s">
        <v>486</v>
      </c>
    </row>
    <row r="37" ht="15.75" customHeight="1">
      <c r="A37" s="12" t="s">
        <v>487</v>
      </c>
      <c r="B37" s="12" t="s">
        <v>472</v>
      </c>
      <c r="C37" s="12" t="s">
        <v>488</v>
      </c>
      <c r="D37" s="13" t="s">
        <v>489</v>
      </c>
      <c r="E37" s="13" t="s">
        <v>490</v>
      </c>
      <c r="F37" s="13" t="s">
        <v>491</v>
      </c>
    </row>
    <row r="38" ht="15.75" customHeight="1">
      <c r="A38" s="8" t="s">
        <v>492</v>
      </c>
      <c r="B38" s="8" t="s">
        <v>478</v>
      </c>
      <c r="C38" s="8" t="s">
        <v>479</v>
      </c>
      <c r="D38" s="9" t="s">
        <v>493</v>
      </c>
      <c r="E38" s="9" t="s">
        <v>494</v>
      </c>
      <c r="F38" s="9" t="s">
        <v>495</v>
      </c>
    </row>
    <row r="39" ht="15.75" customHeight="1">
      <c r="A39" s="29" t="s">
        <v>496</v>
      </c>
      <c r="B39" s="29" t="s">
        <v>472</v>
      </c>
      <c r="C39" s="29" t="s">
        <v>488</v>
      </c>
      <c r="D39" s="30" t="s">
        <v>497</v>
      </c>
      <c r="E39" s="30" t="s">
        <v>498</v>
      </c>
      <c r="F39" s="30" t="s">
        <v>499</v>
      </c>
    </row>
    <row r="40" ht="15.75" customHeight="1">
      <c r="A40" s="16" t="s">
        <v>500</v>
      </c>
      <c r="B40" s="16" t="s">
        <v>501</v>
      </c>
      <c r="C40" s="16" t="s">
        <v>333</v>
      </c>
      <c r="D40" s="17" t="s">
        <v>454</v>
      </c>
      <c r="E40" s="17" t="s">
        <v>502</v>
      </c>
      <c r="F40" s="17" t="s">
        <v>503</v>
      </c>
    </row>
    <row r="41" ht="15.75" customHeight="1">
      <c r="A41" s="38" t="s">
        <v>504</v>
      </c>
      <c r="B41" s="38" t="s">
        <v>65</v>
      </c>
      <c r="C41" s="38" t="s">
        <v>488</v>
      </c>
      <c r="D41" s="39" t="s">
        <v>133</v>
      </c>
      <c r="E41" s="39" t="s">
        <v>505</v>
      </c>
      <c r="F41" s="39" t="s">
        <v>506</v>
      </c>
    </row>
    <row r="42" ht="15.75" customHeight="1"/>
    <row r="43" ht="15.75" customHeight="1">
      <c r="A43" s="4" t="s">
        <v>507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6"/>
    </row>
    <row r="44" ht="15.75" customHeight="1">
      <c r="A44" s="7" t="s">
        <v>296</v>
      </c>
      <c r="B44" s="7" t="s">
        <v>117</v>
      </c>
      <c r="C44" s="7" t="s">
        <v>508</v>
      </c>
      <c r="D44" s="7" t="s">
        <v>509</v>
      </c>
      <c r="E44" s="7" t="s">
        <v>510</v>
      </c>
      <c r="F44" s="7" t="s">
        <v>511</v>
      </c>
    </row>
    <row r="45" ht="15.75" customHeight="1">
      <c r="A45" s="8" t="s">
        <v>512</v>
      </c>
      <c r="B45" s="8" t="s">
        <v>513</v>
      </c>
      <c r="C45" s="9" t="s">
        <v>514</v>
      </c>
      <c r="D45" s="9" t="s">
        <v>515</v>
      </c>
      <c r="E45" s="9" t="s">
        <v>516</v>
      </c>
      <c r="F45" s="9" t="s">
        <v>517</v>
      </c>
    </row>
    <row r="46" ht="15.75" customHeight="1">
      <c r="A46" s="34" t="s">
        <v>518</v>
      </c>
      <c r="B46" s="34" t="s">
        <v>519</v>
      </c>
      <c r="C46" s="35" t="s">
        <v>520</v>
      </c>
      <c r="D46" s="35" t="s">
        <v>521</v>
      </c>
      <c r="E46" s="35" t="s">
        <v>522</v>
      </c>
      <c r="F46" s="35" t="s">
        <v>523</v>
      </c>
    </row>
    <row r="47" ht="15.75" customHeight="1">
      <c r="A47" s="31" t="s">
        <v>524</v>
      </c>
      <c r="B47" s="31" t="s">
        <v>525</v>
      </c>
      <c r="C47" s="32" t="s">
        <v>526</v>
      </c>
      <c r="D47" s="32" t="s">
        <v>527</v>
      </c>
      <c r="E47" s="32" t="s">
        <v>528</v>
      </c>
      <c r="F47" s="32" t="s">
        <v>529</v>
      </c>
    </row>
    <row r="48" ht="15.75" customHeight="1">
      <c r="A48" s="12" t="s">
        <v>530</v>
      </c>
      <c r="B48" s="12" t="s">
        <v>531</v>
      </c>
      <c r="C48" s="13" t="s">
        <v>532</v>
      </c>
      <c r="D48" s="13" t="s">
        <v>533</v>
      </c>
      <c r="E48" s="13" t="s">
        <v>534</v>
      </c>
      <c r="F48" s="13" t="s">
        <v>535</v>
      </c>
    </row>
    <row r="49" ht="15.75" customHeight="1">
      <c r="A49" s="16" t="s">
        <v>536</v>
      </c>
      <c r="B49" s="16" t="s">
        <v>537</v>
      </c>
      <c r="C49" s="17" t="s">
        <v>538</v>
      </c>
      <c r="D49" s="17" t="s">
        <v>539</v>
      </c>
      <c r="E49" s="17" t="s">
        <v>540</v>
      </c>
      <c r="F49" s="17" t="s">
        <v>541</v>
      </c>
    </row>
    <row r="50" ht="15.75" customHeight="1">
      <c r="A50" s="22" t="s">
        <v>542</v>
      </c>
      <c r="B50" s="22" t="s">
        <v>543</v>
      </c>
      <c r="C50" s="23" t="s">
        <v>544</v>
      </c>
      <c r="D50" s="23" t="s">
        <v>545</v>
      </c>
      <c r="E50" s="23" t="s">
        <v>546</v>
      </c>
      <c r="F50" s="23" t="s">
        <v>547</v>
      </c>
    </row>
    <row r="51" ht="15.75" customHeight="1"/>
    <row r="52" ht="15.75" customHeight="1">
      <c r="A52" s="4" t="s">
        <v>548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6"/>
    </row>
    <row r="53" ht="15.75" customHeight="1">
      <c r="A53" s="7" t="s">
        <v>117</v>
      </c>
      <c r="B53" s="7" t="s">
        <v>549</v>
      </c>
      <c r="C53" s="7" t="s">
        <v>550</v>
      </c>
      <c r="D53" s="7" t="s">
        <v>469</v>
      </c>
      <c r="E53" s="7" t="s">
        <v>551</v>
      </c>
      <c r="F53" s="7" t="s">
        <v>552</v>
      </c>
      <c r="G53" s="7" t="s">
        <v>553</v>
      </c>
      <c r="H53" s="7" t="s">
        <v>554</v>
      </c>
    </row>
    <row r="54" ht="15.75" customHeight="1">
      <c r="A54" s="8" t="s">
        <v>555</v>
      </c>
      <c r="B54" s="8" t="s">
        <v>26</v>
      </c>
      <c r="C54" s="8" t="s">
        <v>556</v>
      </c>
      <c r="D54" s="9" t="s">
        <v>557</v>
      </c>
      <c r="E54" s="10" t="s">
        <v>558</v>
      </c>
      <c r="F54" s="10" t="s">
        <v>559</v>
      </c>
      <c r="G54" s="10" t="s">
        <v>560</v>
      </c>
      <c r="H54" s="9" t="s">
        <v>561</v>
      </c>
    </row>
    <row r="55" ht="15.75" customHeight="1">
      <c r="A55" s="34" t="s">
        <v>562</v>
      </c>
      <c r="B55" s="34" t="s">
        <v>563</v>
      </c>
      <c r="C55" s="34" t="s">
        <v>564</v>
      </c>
      <c r="D55" s="35" t="s">
        <v>565</v>
      </c>
      <c r="E55" s="36" t="s">
        <v>566</v>
      </c>
      <c r="F55" s="36" t="s">
        <v>567</v>
      </c>
      <c r="G55" s="36" t="s">
        <v>568</v>
      </c>
      <c r="H55" s="35" t="s">
        <v>569</v>
      </c>
    </row>
    <row r="56" ht="15.75" customHeight="1">
      <c r="A56" s="29" t="s">
        <v>570</v>
      </c>
      <c r="B56" s="29" t="s">
        <v>571</v>
      </c>
      <c r="C56" s="29" t="s">
        <v>572</v>
      </c>
      <c r="D56" s="30" t="s">
        <v>573</v>
      </c>
      <c r="E56" s="37" t="s">
        <v>574</v>
      </c>
      <c r="F56" s="37" t="s">
        <v>575</v>
      </c>
      <c r="G56" s="37" t="s">
        <v>576</v>
      </c>
      <c r="H56" s="30" t="s">
        <v>577</v>
      </c>
    </row>
    <row r="57" ht="15.75" customHeight="1">
      <c r="A57" s="29" t="s">
        <v>578</v>
      </c>
      <c r="B57" s="29" t="s">
        <v>579</v>
      </c>
      <c r="C57" s="29" t="s">
        <v>580</v>
      </c>
      <c r="D57" s="30" t="s">
        <v>581</v>
      </c>
      <c r="E57" s="37" t="s">
        <v>582</v>
      </c>
      <c r="F57" s="37" t="s">
        <v>583</v>
      </c>
      <c r="G57" s="37" t="s">
        <v>584</v>
      </c>
      <c r="H57" s="30" t="s">
        <v>585</v>
      </c>
    </row>
    <row r="58" ht="15.75" customHeight="1"/>
    <row r="59" ht="15.75" customHeight="1">
      <c r="A59" s="40" t="s">
        <v>586</v>
      </c>
    </row>
    <row r="60" ht="15.75" customHeight="1">
      <c r="A60" s="41" t="s">
        <v>587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2:L52"/>
    <mergeCell ref="A59:L59"/>
    <mergeCell ref="A60:L60"/>
    <mergeCell ref="A1:L1"/>
    <mergeCell ref="A2:L2"/>
    <mergeCell ref="A3:L3"/>
    <mergeCell ref="A5:L5"/>
    <mergeCell ref="A14:L14"/>
    <mergeCell ref="A32:L32"/>
    <mergeCell ref="A43:L4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2026-04-06T16:36:10Z</dcterms:created>
  <dc:creator>openpyxl</dc:creator>
</cp:coreProperties>
</file>