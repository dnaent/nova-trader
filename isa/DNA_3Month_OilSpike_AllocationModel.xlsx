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💰 ALLOCATION MODEL" sheetId="1" state="visible" r:id="rId1"/>
    <sheet xmlns:r="http://schemas.openxmlformats.org/officeDocument/2006/relationships" name="🎯 PRICE TARGETS" sheetId="2" state="visible" r:id="rId2"/>
    <sheet xmlns:r="http://schemas.openxmlformats.org/officeDocument/2006/relationships" name="📈 OIL SCENARIO CALC" sheetId="3" state="visible" r:id="rId3"/>
    <sheet xmlns:r="http://schemas.openxmlformats.org/officeDocument/2006/relationships" name="📅 CATALYST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£#,##0.00"/>
    <numFmt numFmtId="165" formatCode="£#,##0"/>
    <numFmt numFmtId="166" formatCode="$#,##0.00"/>
    <numFmt numFmtId="167" formatCode="0.0%"/>
    <numFmt numFmtId="168" formatCode="0.0x"/>
  </numFmts>
  <fonts count="4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0C040"/>
      <sz val="9"/>
    </font>
    <font>
      <name val="Arial"/>
      <b val="1"/>
      <color rgb="00FFFFFF"/>
      <sz val="10"/>
    </font>
    <font>
      <name val="Arial"/>
      <b val="1"/>
      <color rgb="0039D353"/>
      <sz val="9"/>
    </font>
    <font>
      <name val="Arial"/>
      <color rgb="00FFFFFF"/>
      <sz val="9"/>
    </font>
    <font>
      <name val="Arial"/>
      <color rgb="00FFFFFF"/>
      <sz val="8"/>
    </font>
    <font>
      <name val="Arial"/>
      <b val="1"/>
      <color rgb="00FF6B6B"/>
      <sz val="9"/>
    </font>
    <font>
      <name val="Arial"/>
      <b val="1"/>
      <color rgb="00F0C040"/>
      <sz val="9"/>
    </font>
    <font>
      <name val="Arial"/>
      <b val="1"/>
      <color rgb="0056D1C4"/>
      <sz val="8"/>
    </font>
    <font>
      <name val="Arial"/>
      <b val="1"/>
      <color rgb="00FF6B6B"/>
      <sz val="8"/>
    </font>
    <font>
      <name val="Arial"/>
      <b val="1"/>
      <color rgb="00F0C040"/>
      <sz val="11"/>
    </font>
    <font>
      <name val="Arial"/>
      <b val="1"/>
      <color rgb="00FFFFFF"/>
      <sz val="9"/>
    </font>
    <font>
      <name val="Arial"/>
      <color rgb="0056D1C4"/>
      <sz val="8"/>
    </font>
    <font>
      <name val="Arial"/>
      <b val="1"/>
      <color rgb="0058A6FF"/>
      <sz val="9"/>
    </font>
    <font>
      <name val="Arial"/>
      <b val="1"/>
      <color rgb="00F0C040"/>
      <sz val="10"/>
    </font>
    <font>
      <name val="Arial"/>
      <b val="1"/>
      <color rgb="0056D1C4"/>
      <sz val="10"/>
    </font>
    <font>
      <name val="Arial"/>
      <b val="1"/>
      <color rgb="0039D353"/>
      <sz val="10"/>
    </font>
    <font>
      <name val="Arial"/>
      <b val="1"/>
      <color rgb="00FF6B6B"/>
      <sz val="10"/>
    </font>
    <font>
      <name val="Arial"/>
      <b val="1"/>
      <color rgb="00FF8C42"/>
      <sz val="10"/>
    </font>
    <font>
      <name val="Arial"/>
      <i val="1"/>
      <color rgb="00FFFFFF"/>
      <sz val="8"/>
    </font>
    <font>
      <name val="Arial"/>
      <i val="1"/>
      <color rgb="0039D353"/>
      <sz val="8"/>
    </font>
    <font>
      <name val="Arial"/>
      <b val="1"/>
      <color rgb="00F0C040"/>
      <sz val="12"/>
    </font>
    <font>
      <name val="Arial"/>
      <b val="1"/>
      <color rgb="00FFFFFF"/>
      <sz val="11"/>
    </font>
    <font>
      <name val="Arial"/>
      <b val="1"/>
      <color rgb="0039D353"/>
      <sz val="11"/>
    </font>
    <font>
      <name val="Arial"/>
      <b val="1"/>
      <color rgb="00FF8C42"/>
      <sz val="11"/>
    </font>
    <font>
      <name val="Arial"/>
      <b val="1"/>
      <color rgb="0056D1C4"/>
      <sz val="11"/>
    </font>
    <font>
      <name val="Arial"/>
      <i val="1"/>
      <color rgb="008B949E"/>
      <sz val="8"/>
    </font>
    <font>
      <name val="Arial"/>
      <b val="1"/>
      <color rgb="00FFFFFF"/>
      <sz val="12"/>
    </font>
    <font>
      <name val="Arial"/>
      <b val="1"/>
      <color rgb="0058A6FF"/>
      <sz val="10"/>
    </font>
    <font>
      <name val="Arial"/>
      <b val="1"/>
      <color rgb="00BC8CFF"/>
      <sz val="9"/>
    </font>
    <font>
      <name val="Arial"/>
      <color rgb="00FF8C42"/>
      <sz val="8"/>
    </font>
    <font>
      <name val="Arial"/>
      <b val="1"/>
      <color rgb="00FF6B6B"/>
      <sz val="11"/>
    </font>
    <font>
      <name val="Arial"/>
      <color rgb="00AAAAAA"/>
      <sz val="7.5"/>
    </font>
    <font>
      <name val="Arial"/>
      <i val="1"/>
      <color rgb="00888888"/>
      <sz val="7.5"/>
    </font>
    <font>
      <name val="Arial"/>
      <i val="1"/>
      <color rgb="00888888"/>
      <sz val="8"/>
    </font>
    <font>
      <name val="Arial"/>
      <b val="1"/>
      <color rgb="0056D1C4"/>
      <sz val="9"/>
    </font>
    <font>
      <name val="Arial"/>
      <b val="1"/>
      <color rgb="00FF8C42"/>
      <sz val="9"/>
    </font>
    <font>
      <name val="Arial"/>
      <i val="1"/>
      <color rgb="00F0C040"/>
      <sz val="8"/>
    </font>
    <font>
      <name val="Arial"/>
      <color rgb="0039D353"/>
      <sz val="8"/>
    </font>
    <font>
      <name val="Arial"/>
      <color rgb="00FF6B6B"/>
      <sz val="8"/>
    </font>
    <font>
      <name val="Arial"/>
      <b val="1"/>
      <color rgb="00FFFFFF"/>
      <sz val="8"/>
    </font>
    <font>
      <name val="Arial"/>
      <color rgb="00BC8CFF"/>
      <sz val="8"/>
    </font>
    <font>
      <name val="Arial"/>
      <b val="1"/>
      <color rgb="00FF8C42"/>
      <sz val="8"/>
    </font>
  </fonts>
  <fills count="18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A4731"/>
      </patternFill>
    </fill>
    <fill>
      <patternFill patternType="solid">
        <fgColor rgb="004A1010"/>
      </patternFill>
    </fill>
    <fill>
      <patternFill patternType="solid">
        <fgColor rgb="00132B1F"/>
      </patternFill>
    </fill>
    <fill>
      <patternFill patternType="solid">
        <fgColor rgb="002B1313"/>
      </patternFill>
    </fill>
    <fill>
      <patternFill patternType="solid">
        <fgColor rgb="001A3D5C"/>
      </patternFill>
    </fill>
    <fill>
      <patternFill patternType="solid">
        <fgColor rgb="0022272E"/>
      </patternFill>
    </fill>
    <fill>
      <patternFill patternType="solid">
        <fgColor rgb="00132B3D"/>
      </patternFill>
    </fill>
    <fill>
      <patternFill patternType="solid">
        <fgColor rgb="001C2128"/>
      </patternFill>
    </fill>
    <fill>
      <patternFill patternType="solid">
        <fgColor rgb="001A3D1A"/>
      </patternFill>
    </fill>
    <fill>
      <patternFill patternType="solid">
        <fgColor rgb="000A3D5C"/>
      </patternFill>
    </fill>
    <fill>
      <patternFill patternType="solid">
        <fgColor rgb="003D0A0A"/>
      </patternFill>
    </fill>
    <fill>
      <patternFill patternType="solid">
        <fgColor rgb="000A2030"/>
      </patternFill>
    </fill>
    <fill>
      <patternFill patternType="solid">
        <fgColor rgb="00200A0A"/>
      </patternFill>
    </fill>
    <fill>
      <patternFill patternType="solid">
        <fgColor rgb="003D3000"/>
      </patternFill>
    </fill>
  </fills>
  <borders count="12">
    <border>
      <left/>
      <right/>
      <top/>
      <bottom/>
      <diagonal/>
    </border>
    <border>
      <left style="thin">
        <color rgb="00F0C040"/>
      </left>
      <right style="thin">
        <color rgb="00F0C040"/>
      </right>
      <top style="thin">
        <color rgb="00F0C040"/>
      </top>
      <bottom style="thin">
        <color rgb="00F0C040"/>
      </bottom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  <border>
      <left style="thin">
        <color rgb="0039D353"/>
      </left>
      <right style="thin">
        <color rgb="0039D353"/>
      </right>
      <top style="thin">
        <color rgb="0039D353"/>
      </top>
      <bottom style="thin">
        <color rgb="0039D353"/>
      </bottom>
    </border>
    <border>
      <left style="thin">
        <color rgb="00FF6B6B"/>
      </left>
      <right style="thin">
        <color rgb="00FF6B6B"/>
      </right>
      <top style="thin">
        <color rgb="00FF6B6B"/>
      </top>
      <bottom style="thin">
        <color rgb="00FF6B6B"/>
      </bottom>
    </border>
    <border>
      <left/>
      <right/>
      <top style="thin">
        <color rgb="0030363D"/>
      </top>
      <bottom/>
      <diagonal/>
    </border>
    <border>
      <left/>
      <right style="thin">
        <color rgb="0030363D"/>
      </right>
      <top style="thin">
        <color rgb="0030363D"/>
      </top>
      <bottom/>
      <diagonal/>
    </border>
    <border>
      <left/>
      <right/>
      <top style="thin">
        <color rgb="0030363D"/>
      </top>
      <bottom style="thin">
        <color rgb="0030363D"/>
      </bottom>
      <diagonal/>
    </border>
    <border>
      <left/>
      <right style="thin">
        <color rgb="0030363D"/>
      </right>
      <top style="thin">
        <color rgb="0030363D"/>
      </top>
      <bottom style="thin">
        <color rgb="0030363D"/>
      </bottom>
      <diagonal/>
    </border>
    <border>
      <left style="thin">
        <color rgb="0056D1C4"/>
      </left>
      <right style="thin">
        <color rgb="0056D1C4"/>
      </right>
      <top style="thin">
        <color rgb="0056D1C4"/>
      </top>
      <bottom style="thin">
        <color rgb="0056D1C4"/>
      </bottom>
    </border>
    <border>
      <left style="thin">
        <color rgb="00FF8C42"/>
      </left>
      <right style="thin">
        <color rgb="00FF8C42"/>
      </right>
      <top style="thin">
        <color rgb="00FF8C42"/>
      </top>
      <bottom style="thin">
        <color rgb="00FF8C42"/>
      </bottom>
    </border>
    <border>
      <left style="thin">
        <color rgb="00BC8CFF"/>
      </left>
      <right style="thin">
        <color rgb="00BC8CFF"/>
      </right>
      <top style="thin">
        <color rgb="00BC8CFF"/>
      </top>
      <bottom style="thin">
        <color rgb="00BC8CFF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4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center" vertical="center" wrapText="1"/>
    </xf>
    <xf numFmtId="164" fontId="14" fillId="9" borderId="2" applyAlignment="1" pivotButton="0" quotePrefix="0" xfId="0">
      <alignment horizontal="right" vertical="center"/>
    </xf>
    <xf numFmtId="165" fontId="15" fillId="9" borderId="2" applyAlignment="1" pivotButton="0" quotePrefix="0" xfId="0">
      <alignment horizontal="right" vertical="center"/>
    </xf>
    <xf numFmtId="3" fontId="5" fillId="9" borderId="2" applyAlignment="1" pivotButton="0" quotePrefix="0" xfId="0">
      <alignment horizontal="center" vertical="center" wrapText="1"/>
    </xf>
    <xf numFmtId="164" fontId="7" fillId="9" borderId="2" applyAlignment="1" pivotButton="0" quotePrefix="0" xfId="0">
      <alignment horizontal="right" vertical="center"/>
    </xf>
    <xf numFmtId="164" fontId="16" fillId="10" borderId="2" applyAlignment="1" pivotButton="0" quotePrefix="0" xfId="0">
      <alignment horizontal="center" vertical="center" wrapText="1"/>
    </xf>
    <xf numFmtId="165" fontId="5" fillId="10" borderId="2" applyAlignment="1" pivotButton="0" quotePrefix="0" xfId="0">
      <alignment horizontal="right" vertical="center"/>
    </xf>
    <xf numFmtId="165" fontId="17" fillId="10" borderId="2" applyAlignment="1" pivotButton="0" quotePrefix="0" xfId="0">
      <alignment horizontal="right" vertical="center"/>
    </xf>
    <xf numFmtId="164" fontId="18" fillId="7" borderId="2" applyAlignment="1" pivotButton="0" quotePrefix="0" xfId="0">
      <alignment horizontal="center" vertical="center" wrapText="1"/>
    </xf>
    <xf numFmtId="165" fontId="5" fillId="7" borderId="2" applyAlignment="1" pivotButton="0" quotePrefix="0" xfId="0">
      <alignment horizontal="right" vertical="center"/>
    </xf>
    <xf numFmtId="165" fontId="19" fillId="7" borderId="2" applyAlignment="1" pivotButton="0" quotePrefix="0" xfId="0">
      <alignment horizontal="right" vertical="center"/>
    </xf>
    <xf numFmtId="0" fontId="20" fillId="9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left" vertical="center" wrapText="1"/>
    </xf>
    <xf numFmtId="0" fontId="13" fillId="11" borderId="2" applyAlignment="1" pivotButton="0" quotePrefix="0" xfId="0">
      <alignment horizontal="center" vertical="center" wrapText="1"/>
    </xf>
    <xf numFmtId="164" fontId="14" fillId="11" borderId="2" applyAlignment="1" pivotButton="0" quotePrefix="0" xfId="0">
      <alignment horizontal="right" vertical="center"/>
    </xf>
    <xf numFmtId="165" fontId="15" fillId="11" borderId="2" applyAlignment="1" pivotButton="0" quotePrefix="0" xfId="0">
      <alignment horizontal="right" vertical="center"/>
    </xf>
    <xf numFmtId="3" fontId="5" fillId="11" borderId="2" applyAlignment="1" pivotButton="0" quotePrefix="0" xfId="0">
      <alignment horizontal="center" vertical="center" wrapText="1"/>
    </xf>
    <xf numFmtId="164" fontId="7" fillId="11" borderId="2" applyAlignment="1" pivotButton="0" quotePrefix="0" xfId="0">
      <alignment horizontal="right" vertical="center"/>
    </xf>
    <xf numFmtId="0" fontId="20" fillId="11" borderId="2" applyAlignment="1" pivotButton="0" quotePrefix="0" xfId="0">
      <alignment horizontal="left" vertical="center" wrapText="1"/>
    </xf>
    <xf numFmtId="0" fontId="4" fillId="12" borderId="3" applyAlignment="1" pivotButton="0" quotePrefix="0" xfId="0">
      <alignment horizontal="left" vertical="center" wrapText="1"/>
    </xf>
    <xf numFmtId="0" fontId="21" fillId="12" borderId="2" applyAlignment="1" pivotButton="0" quotePrefix="0" xfId="0">
      <alignment horizontal="left" vertical="center" wrapText="1"/>
    </xf>
    <xf numFmtId="0" fontId="22" fillId="2" borderId="1" applyAlignment="1" pivotButton="0" quotePrefix="0" xfId="0">
      <alignment horizontal="right" vertical="center"/>
    </xf>
    <xf numFmtId="165" fontId="11" fillId="2" borderId="1" applyAlignment="1" pivotButton="0" quotePrefix="0" xfId="0">
      <alignment horizontal="right" vertical="center"/>
    </xf>
    <xf numFmtId="165" fontId="23" fillId="2" borderId="1" applyAlignment="1" pivotButton="0" quotePrefix="0" xfId="0">
      <alignment horizontal="right" vertical="center"/>
    </xf>
    <xf numFmtId="165" fontId="24" fillId="2" borderId="1" applyAlignment="1" pivotButton="0" quotePrefix="0" xfId="0">
      <alignment horizontal="right" vertical="center"/>
    </xf>
    <xf numFmtId="165" fontId="25" fillId="2" borderId="1" applyAlignment="1" pivotButton="0" quotePrefix="0" xfId="0">
      <alignment horizontal="right" vertical="center"/>
    </xf>
    <xf numFmtId="0" fontId="26" fillId="10" borderId="9" applyAlignment="1" pivotButton="0" quotePrefix="0" xfId="0">
      <alignment horizontal="center" vertical="center" wrapText="1"/>
    </xf>
    <xf numFmtId="0" fontId="25" fillId="7" borderId="4" applyAlignment="1" pivotButton="0" quotePrefix="0" xfId="0">
      <alignment horizontal="center" vertical="center" wrapText="1"/>
    </xf>
    <xf numFmtId="0" fontId="27" fillId="3" borderId="2" applyAlignment="1" pivotButton="0" quotePrefix="0" xfId="0">
      <alignment horizontal="left" vertical="center" wrapText="1"/>
    </xf>
    <xf numFmtId="0" fontId="28" fillId="2" borderId="9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164" fontId="29" fillId="11" borderId="2" applyAlignment="1" pivotButton="0" quotePrefix="0" xfId="0">
      <alignment horizontal="center" vertical="center" wrapText="1"/>
    </xf>
    <xf numFmtId="0" fontId="30" fillId="11" borderId="2" applyAlignment="1" pivotButton="0" quotePrefix="0" xfId="0">
      <alignment horizontal="center" vertical="center" wrapText="1"/>
    </xf>
    <xf numFmtId="0" fontId="31" fillId="11" borderId="2" applyAlignment="1" pivotButton="0" quotePrefix="0" xfId="0">
      <alignment horizontal="center" vertical="center" wrapText="1"/>
    </xf>
    <xf numFmtId="164" fontId="26" fillId="15" borderId="2" applyAlignment="1" pivotButton="0" quotePrefix="0" xfId="0">
      <alignment horizontal="center" vertical="center" wrapText="1"/>
    </xf>
    <xf numFmtId="0" fontId="17" fillId="15" borderId="2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center" vertical="center" wrapText="1"/>
    </xf>
    <xf numFmtId="164" fontId="32" fillId="16" borderId="2" applyAlignment="1" pivotButton="0" quotePrefix="0" xfId="0">
      <alignment horizontal="center" vertical="center" wrapText="1"/>
    </xf>
    <xf numFmtId="0" fontId="19" fillId="16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center" vertical="center" wrapText="1"/>
    </xf>
    <xf numFmtId="164" fontId="7" fillId="11" borderId="2" applyAlignment="1" pivotButton="0" quotePrefix="0" xfId="0">
      <alignment horizontal="center" vertical="center" wrapText="1"/>
    </xf>
    <xf numFmtId="0" fontId="33" fillId="11" borderId="2" applyAlignment="1" pivotButton="0" quotePrefix="0" xfId="0">
      <alignment horizontal="left" vertical="center" wrapText="1"/>
    </xf>
    <xf numFmtId="164" fontId="29" fillId="9" borderId="2" applyAlignment="1" pivotButton="0" quotePrefix="0" xfId="0">
      <alignment horizontal="center" vertical="center" wrapText="1"/>
    </xf>
    <xf numFmtId="0" fontId="30" fillId="9" borderId="2" applyAlignment="1" pivotButton="0" quotePrefix="0" xfId="0">
      <alignment horizontal="center" vertical="center" wrapText="1"/>
    </xf>
    <xf numFmtId="0" fontId="31" fillId="9" borderId="2" applyAlignment="1" pivotButton="0" quotePrefix="0" xfId="0">
      <alignment horizontal="center" vertical="center" wrapText="1"/>
    </xf>
    <xf numFmtId="164" fontId="7" fillId="9" borderId="2" applyAlignment="1" pivotButton="0" quotePrefix="0" xfId="0">
      <alignment horizontal="center" vertical="center" wrapText="1"/>
    </xf>
    <xf numFmtId="0" fontId="33" fillId="9" borderId="2" applyAlignment="1" pivotButton="0" quotePrefix="0" xfId="0">
      <alignment horizontal="left" vertical="center" wrapText="1"/>
    </xf>
    <xf numFmtId="0" fontId="34" fillId="3" borderId="2" applyAlignment="1" pivotButton="0" quotePrefix="0" xfId="0">
      <alignment horizontal="left" vertical="center" wrapText="1"/>
    </xf>
    <xf numFmtId="0" fontId="28" fillId="2" borderId="10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166" fontId="15" fillId="17" borderId="1" applyAlignment="1" pivotButton="0" quotePrefix="0" xfId="0">
      <alignment horizontal="center" vertical="center" wrapText="1"/>
    </xf>
    <xf numFmtId="0" fontId="35" fillId="3" borderId="2" applyAlignment="1" pivotButton="0" quotePrefix="0" xfId="0">
      <alignment horizontal="left" vertical="center" wrapText="1"/>
    </xf>
    <xf numFmtId="167" fontId="17" fillId="9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164" fontId="14" fillId="11" borderId="2" applyAlignment="1" pivotButton="0" quotePrefix="0" xfId="0">
      <alignment horizontal="center" vertical="center" wrapText="1"/>
    </xf>
    <xf numFmtId="168" fontId="30" fillId="11" borderId="2" applyAlignment="1" pivotButton="0" quotePrefix="0" xfId="0">
      <alignment horizontal="center" vertical="center" wrapText="1"/>
    </xf>
    <xf numFmtId="164" fontId="36" fillId="11" borderId="2" applyAlignment="1" pivotButton="0" quotePrefix="0" xfId="0">
      <alignment horizontal="center" vertical="center" wrapText="1"/>
    </xf>
    <xf numFmtId="167" fontId="4" fillId="11" borderId="2" applyAlignment="1" pivotButton="0" quotePrefix="0" xfId="0">
      <alignment horizontal="center" vertical="center" wrapText="1"/>
    </xf>
    <xf numFmtId="167" fontId="37" fillId="11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164" fontId="14" fillId="9" borderId="2" applyAlignment="1" pivotButton="0" quotePrefix="0" xfId="0">
      <alignment horizontal="center" vertical="center" wrapText="1"/>
    </xf>
    <xf numFmtId="168" fontId="30" fillId="9" borderId="2" applyAlignment="1" pivotButton="0" quotePrefix="0" xfId="0">
      <alignment horizontal="center" vertical="center" wrapText="1"/>
    </xf>
    <xf numFmtId="164" fontId="36" fillId="9" borderId="2" applyAlignment="1" pivotButton="0" quotePrefix="0" xfId="0">
      <alignment horizontal="center" vertical="center" wrapText="1"/>
    </xf>
    <xf numFmtId="167" fontId="4" fillId="9" borderId="2" applyAlignment="1" pivotButton="0" quotePrefix="0" xfId="0">
      <alignment horizontal="center" vertical="center" wrapText="1"/>
    </xf>
    <xf numFmtId="167" fontId="37" fillId="9" borderId="2" applyAlignment="1" pivotButton="0" quotePrefix="0" xfId="0">
      <alignment horizontal="center" vertical="center" wrapText="1"/>
    </xf>
    <xf numFmtId="0" fontId="38" fillId="3" borderId="2" applyAlignment="1" pivotButton="0" quotePrefix="0" xfId="0">
      <alignment horizontal="left" vertical="center" wrapText="1"/>
    </xf>
    <xf numFmtId="0" fontId="28" fillId="2" borderId="11" applyAlignment="1" pivotButton="0" quotePrefix="0" xfId="0">
      <alignment horizontal="center" vertical="center" wrapText="1"/>
    </xf>
    <xf numFmtId="0" fontId="30" fillId="2" borderId="11" applyAlignment="1" pivotButton="0" quotePrefix="0" xfId="0">
      <alignment horizontal="center" vertical="center" wrapText="1"/>
    </xf>
    <xf numFmtId="0" fontId="36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center" wrapText="1"/>
    </xf>
    <xf numFmtId="0" fontId="39" fillId="11" borderId="2" applyAlignment="1" pivotButton="0" quotePrefix="0" xfId="0">
      <alignment horizontal="left" vertical="center" wrapText="1"/>
    </xf>
    <xf numFmtId="0" fontId="40" fillId="11" borderId="2" applyAlignment="1" pivotButton="0" quotePrefix="0" xfId="0">
      <alignment horizontal="left" vertical="center" wrapText="1"/>
    </xf>
    <xf numFmtId="0" fontId="41" fillId="11" borderId="2" applyAlignment="1" pivotButton="0" quotePrefix="0" xfId="0">
      <alignment horizontal="left" vertical="center" wrapText="1"/>
    </xf>
    <xf numFmtId="0" fontId="42" fillId="11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36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39" fillId="9" borderId="2" applyAlignment="1" pivotButton="0" quotePrefix="0" xfId="0">
      <alignment horizontal="left" vertical="center" wrapText="1"/>
    </xf>
    <xf numFmtId="0" fontId="40" fillId="9" borderId="2" applyAlignment="1" pivotButton="0" quotePrefix="0" xfId="0">
      <alignment horizontal="left" vertical="center" wrapText="1"/>
    </xf>
    <xf numFmtId="0" fontId="41" fillId="9" borderId="2" applyAlignment="1" pivotButton="0" quotePrefix="0" xfId="0">
      <alignment horizontal="left" vertical="center" wrapText="1"/>
    </xf>
    <xf numFmtId="0" fontId="42" fillId="9" borderId="2" applyAlignment="1" pivotButton="0" quotePrefix="0" xfId="0">
      <alignment horizontal="left" vertical="center" wrapText="1"/>
    </xf>
    <xf numFmtId="0" fontId="5" fillId="16" borderId="4" applyAlignment="1" pivotButton="0" quotePrefix="0" xfId="0">
      <alignment horizontal="left" vertical="center" wrapText="1"/>
    </xf>
    <xf numFmtId="0" fontId="8" fillId="16" borderId="4" applyAlignment="1" pivotButton="0" quotePrefix="0" xfId="0">
      <alignment horizontal="center" vertical="center" wrapText="1"/>
    </xf>
    <xf numFmtId="0" fontId="36" fillId="16" borderId="4" applyAlignment="1" pivotButton="0" quotePrefix="0" xfId="0">
      <alignment horizontal="center" vertical="center" wrapText="1"/>
    </xf>
    <xf numFmtId="0" fontId="6" fillId="16" borderId="4" applyAlignment="1" pivotButton="0" quotePrefix="0" xfId="0">
      <alignment horizontal="left" vertical="center" wrapText="1"/>
    </xf>
    <xf numFmtId="0" fontId="39" fillId="16" borderId="4" applyAlignment="1" pivotButton="0" quotePrefix="0" xfId="0">
      <alignment horizontal="left" vertical="center" wrapText="1"/>
    </xf>
    <xf numFmtId="0" fontId="40" fillId="16" borderId="4" applyAlignment="1" pivotButton="0" quotePrefix="0" xfId="0">
      <alignment horizontal="left" vertical="center" wrapText="1"/>
    </xf>
    <xf numFmtId="0" fontId="43" fillId="16" borderId="4" applyAlignment="1" pivotButton="0" quotePrefix="0" xfId="0">
      <alignment horizontal="left" vertical="center" wrapText="1"/>
    </xf>
    <xf numFmtId="0" fontId="42" fillId="16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C040"/>
    <outlinePr summaryBelow="1" summaryRight="1"/>
    <pageSetUpPr/>
  </sheetPr>
  <dimension ref="A1:O24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8" customHeight="1">
      <c r="A1" s="1" t="inlineStr">
        <is>
          <t>💰  DNA ENTERTAINMENT — £10,000 SHORT-TERM OIL SPIKE ALLOCATION MODEL  |  3-Month Window: March → June 2026  |  Iran/Hormuz Conflict + Afentra Takeover</t>
        </is>
      </c>
    </row>
    <row r="2" ht="20" customHeight="1">
      <c r="A2" s="2" t="inlineStr">
        <is>
          <t xml:space="preserve">  ⚠️  Speculative allocation. Not financial advice. Oil: $94/bbl (Iran war). Russia-Ukraine precedent: Brent +56% / AIM oil stocks +80–130%. All positions carry risk of total loss.</t>
        </is>
      </c>
    </row>
    <row r="3" ht="8" customHeight="1"/>
    <row r="4" ht="22" customHeight="1">
      <c r="A4" s="3" t="inlineStr">
        <is>
          <t>📊  HISTORICAL PRECEDENT: RUSSIA-UKRAINE WAR (Feb 24 – Jun 2022)</t>
        </is>
      </c>
      <c r="I4" s="4" t="inlineStr">
        <is>
          <t>📊  CURRENT SCENARIO: IRAN WAR / STRAIT OF HORMUZ (Mar 2026)</t>
        </is>
      </c>
    </row>
    <row r="5" ht="18" customHeight="1">
      <c r="B5" s="5" t="inlineStr">
        <is>
          <t>Pre-war Brent:</t>
        </is>
      </c>
      <c r="C5" s="6" t="n"/>
      <c r="D5" s="7" t="n"/>
      <c r="E5" s="8" t="inlineStr">
        <is>
          <t>~$80/bbl (Jan 2022)</t>
        </is>
      </c>
      <c r="I5" s="9" t="inlineStr">
        <is>
          <t>Pre-war Brent:</t>
        </is>
      </c>
      <c r="L5" s="10" t="inlineStr">
        <is>
          <t>~$60/bbl (Jan 2026)</t>
        </is>
      </c>
    </row>
    <row r="6" ht="18" customHeight="1">
      <c r="B6" s="5" t="inlineStr">
        <is>
          <t>Peak Brent:</t>
        </is>
      </c>
      <c r="C6" s="6" t="n"/>
      <c r="D6" s="7" t="n"/>
      <c r="E6" s="8" t="inlineStr">
        <is>
          <t>$139/bbl (Mar 7, 2022) = +74%</t>
        </is>
      </c>
      <c r="I6" s="9" t="inlineStr">
        <is>
          <t>Current Brent:</t>
        </is>
      </c>
      <c r="L6" s="10" t="inlineStr">
        <is>
          <t>$94/bbl (Mar 19, 2026) = +57% ↑</t>
        </is>
      </c>
    </row>
    <row r="7" ht="18" customHeight="1">
      <c r="B7" s="5" t="inlineStr">
        <is>
          <t>Duration at peak:</t>
        </is>
      </c>
      <c r="C7" s="6" t="n"/>
      <c r="D7" s="7" t="n"/>
      <c r="E7" s="8" t="inlineStr">
        <is>
          <t>~4 months elevated ($100+ until Jul 22)</t>
        </is>
      </c>
      <c r="I7" s="9" t="inlineStr">
        <is>
          <t>Analyst peak target:</t>
        </is>
      </c>
      <c r="L7" s="10" t="inlineStr">
        <is>
          <t>$120–150/bbl (Q2 2026)</t>
        </is>
      </c>
    </row>
    <row r="8" ht="18" customHeight="1">
      <c r="B8" s="5" t="inlineStr">
        <is>
          <t>AIM oil stock avg gain:</t>
        </is>
      </c>
      <c r="C8" s="6" t="n"/>
      <c r="D8" s="7" t="n"/>
      <c r="E8" s="8" t="inlineStr">
        <is>
          <t>80–130% over 6–8 weeks</t>
        </is>
      </c>
      <c r="I8" s="9" t="inlineStr">
        <is>
          <t>EIA Q3 forecast:</t>
        </is>
      </c>
      <c r="L8" s="10" t="inlineStr">
        <is>
          <t>Falls below $80/bbl</t>
        </is>
      </c>
    </row>
    <row r="9" ht="18" customHeight="1">
      <c r="B9" s="5" t="inlineStr">
        <is>
          <t>GKP: 140p→300p</t>
        </is>
      </c>
      <c r="C9" s="6" t="n"/>
      <c r="D9" s="7" t="n"/>
      <c r="E9" s="8">
        <f>+114% in 6 wks</f>
        <v/>
      </c>
      <c r="I9" s="9" t="inlineStr">
        <is>
          <t>GKP current:</t>
        </is>
      </c>
      <c r="L9" s="10" t="inlineStr">
        <is>
          <t>220p — room to 300–350p</t>
        </is>
      </c>
    </row>
    <row r="10" ht="18" customHeight="1">
      <c r="B10" s="5" t="inlineStr">
        <is>
          <t>AET (prev Sterling): 30p→60p</t>
        </is>
      </c>
      <c r="C10" s="6" t="n"/>
      <c r="D10" s="7" t="n"/>
      <c r="E10" s="8">
        <f>+100% in 6 wks</f>
        <v/>
      </c>
      <c r="I10" s="9" t="inlineStr">
        <is>
          <t>AET current:</t>
        </is>
      </c>
      <c r="L10" s="10" t="inlineStr">
        <is>
          <t>72p + TAKEOVER PREMIUM</t>
        </is>
      </c>
    </row>
    <row r="11" ht="18" customHeight="1">
      <c r="B11" s="5" t="inlineStr">
        <is>
          <t>JSE: 60p→95p</t>
        </is>
      </c>
      <c r="C11" s="6" t="n"/>
      <c r="D11" s="7" t="n"/>
      <c r="E11" s="8">
        <f>+58% in 6 wks</f>
        <v/>
      </c>
      <c r="I11" s="9" t="inlineStr">
        <is>
          <t>JSE current:</t>
        </is>
      </c>
      <c r="L11" s="10" t="inlineStr">
        <is>
          <t>28p — analyst target 54p</t>
        </is>
      </c>
    </row>
    <row r="12" ht="18" customHeight="1">
      <c r="B12" s="5" t="inlineStr">
        <is>
          <t>PTAL: 28p→55p</t>
        </is>
      </c>
      <c r="C12" s="6" t="n"/>
      <c r="D12" s="7" t="n"/>
      <c r="E12" s="8">
        <f>+96% in 6 wks</f>
        <v/>
      </c>
      <c r="I12" s="9" t="inlineStr">
        <is>
          <t>SEPL current:</t>
        </is>
      </c>
      <c r="L12" s="10" t="inlineStr">
        <is>
          <t>~1400p — Bonny Light premium</t>
        </is>
      </c>
    </row>
    <row r="13" ht="10" customHeight="1"/>
    <row r="14" ht="45" customHeight="1">
      <c r="A14" s="11" t="inlineStr"/>
      <c r="B14" s="11" t="inlineStr">
        <is>
          <t>Ticker</t>
        </is>
      </c>
      <c r="C14" s="11" t="inlineStr">
        <is>
          <t>Company</t>
        </is>
      </c>
      <c r="D14" s="11" t="inlineStr">
        <is>
          <t>Crude
Grade</t>
        </is>
      </c>
      <c r="E14" s="11" t="inlineStr">
        <is>
          <t>Entry
Price</t>
        </is>
      </c>
      <c r="F14" s="11" t="inlineStr">
        <is>
          <t>£
Allocation</t>
        </is>
      </c>
      <c r="G14" s="11" t="inlineStr">
        <is>
          <t>Shares
Bought</t>
        </is>
      </c>
      <c r="H14" s="11" t="inlineStr">
        <is>
          <t>Stop
Loss</t>
        </is>
      </c>
      <c r="I14" s="12" t="inlineStr">
        <is>
          <t>CONSERVATIVE
Target
(Oil ~$110)</t>
        </is>
      </c>
      <c r="J14" s="12" t="inlineStr">
        <is>
          <t>CONSERVATIVE
£ Return</t>
        </is>
      </c>
      <c r="K14" s="12" t="inlineStr">
        <is>
          <t>CONSERVATIVE
Profit £</t>
        </is>
      </c>
      <c r="L14" s="13" t="inlineStr">
        <is>
          <t>AGGRESSIVE
Target
(Oil ~$130)</t>
        </is>
      </c>
      <c r="M14" s="13" t="inlineStr">
        <is>
          <t>AGGRESSIVE
£ Return</t>
        </is>
      </c>
      <c r="N14" s="13" t="inlineStr">
        <is>
          <t>AGGRESSIVE
Profit £</t>
        </is>
      </c>
      <c r="O14" s="11" t="inlineStr">
        <is>
          <t>Catalyst Within
3-Month Window</t>
        </is>
      </c>
    </row>
    <row r="15" ht="50" customHeight="1">
      <c r="A15" s="14" t="inlineStr"/>
      <c r="B15" s="15" t="inlineStr">
        <is>
          <t>AET</t>
        </is>
      </c>
      <c r="C15" s="16" t="inlineStr">
        <is>
          <t>Afentra plc</t>
        </is>
      </c>
      <c r="D15" s="17" t="inlineStr">
        <is>
          <t>Palanca Blend
~30° API</t>
        </is>
      </c>
      <c r="E15" s="18" t="n">
        <v>0.72</v>
      </c>
      <c r="F15" s="19" t="n">
        <v>3500</v>
      </c>
      <c r="G15" s="20">
        <f>ROUND(F15/E15,0)</f>
        <v/>
      </c>
      <c r="H15" s="21" t="n">
        <v>0.58</v>
      </c>
      <c r="I15" s="22" t="n">
        <v>1</v>
      </c>
      <c r="J15" s="23">
        <f>G15*I15</f>
        <v/>
      </c>
      <c r="K15" s="24">
        <f>J15-F15</f>
        <v/>
      </c>
      <c r="L15" s="25" t="n">
        <v>1.2</v>
      </c>
      <c r="M15" s="26">
        <f>G15*L15</f>
        <v/>
      </c>
      <c r="N15" s="27">
        <f>M15-F15</f>
        <v/>
      </c>
      <c r="O15" s="28" t="inlineStr">
        <is>
          <t>Formal bid (Rule 2.7)
announcement expected
May–Jun 2026</t>
        </is>
      </c>
    </row>
    <row r="16" ht="50" customHeight="1">
      <c r="A16" s="29" t="inlineStr"/>
      <c r="B16" s="30" t="inlineStr">
        <is>
          <t>GKP</t>
        </is>
      </c>
      <c r="C16" s="31" t="inlineStr">
        <is>
          <t>Gulf Keystone</t>
        </is>
      </c>
      <c r="D16" s="32" t="inlineStr">
        <is>
          <t>Shaikan Light
~35° API</t>
        </is>
      </c>
      <c r="E16" s="33" t="n">
        <v>2.2</v>
      </c>
      <c r="F16" s="34" t="n">
        <v>2500</v>
      </c>
      <c r="G16" s="35">
        <f>ROUND(F16/E16,0)</f>
        <v/>
      </c>
      <c r="H16" s="36" t="n">
        <v>1.65</v>
      </c>
      <c r="I16" s="22" t="n">
        <v>3</v>
      </c>
      <c r="J16" s="23">
        <f>G16*I16</f>
        <v/>
      </c>
      <c r="K16" s="24">
        <f>J16-F16</f>
        <v/>
      </c>
      <c r="L16" s="25" t="n">
        <v>3.6</v>
      </c>
      <c r="M16" s="26">
        <f>G16*L16</f>
        <v/>
      </c>
      <c r="N16" s="27">
        <f>M16-F16</f>
        <v/>
      </c>
      <c r="O16" s="37" t="inlineStr">
        <is>
          <t>Production restart +
dividend Apr 27 +
Ceyhan premium on Hormuz</t>
        </is>
      </c>
    </row>
    <row r="17" ht="50" customHeight="1">
      <c r="A17" s="14" t="inlineStr"/>
      <c r="B17" s="15" t="inlineStr">
        <is>
          <t>JSE</t>
        </is>
      </c>
      <c r="C17" s="16" t="inlineStr">
        <is>
          <t>Jadestone Energy</t>
        </is>
      </c>
      <c r="D17" s="17" t="inlineStr">
        <is>
          <t>Montara/PM323
38–47° API</t>
        </is>
      </c>
      <c r="E17" s="18" t="n">
        <v>0.28</v>
      </c>
      <c r="F17" s="19" t="n">
        <v>2000</v>
      </c>
      <c r="G17" s="20">
        <f>ROUND(F17/E17,0)</f>
        <v/>
      </c>
      <c r="H17" s="21" t="n">
        <v>0.2</v>
      </c>
      <c r="I17" s="22" t="n">
        <v>0.4</v>
      </c>
      <c r="J17" s="23">
        <f>G17*I17</f>
        <v/>
      </c>
      <c r="K17" s="24">
        <f>J17-F17</f>
        <v/>
      </c>
      <c r="L17" s="25" t="n">
        <v>0.54</v>
      </c>
      <c r="M17" s="26">
        <f>G17*L17</f>
        <v/>
      </c>
      <c r="N17" s="27">
        <f>M17-F17</f>
        <v/>
      </c>
      <c r="O17" s="28" t="inlineStr">
        <is>
          <t>Vietnam FDP approval +
PM323 Malaysia drilling
Q2 2026</t>
        </is>
      </c>
    </row>
    <row r="18" ht="50" customHeight="1">
      <c r="A18" s="29" t="inlineStr"/>
      <c r="B18" s="30" t="inlineStr">
        <is>
          <t>SEPL</t>
        </is>
      </c>
      <c r="C18" s="31" t="inlineStr">
        <is>
          <t>Seplat Energy</t>
        </is>
      </c>
      <c r="D18" s="32" t="inlineStr">
        <is>
          <t>Bonny Light
~35° API PREMIUM</t>
        </is>
      </c>
      <c r="E18" s="33" t="n">
        <v>14</v>
      </c>
      <c r="F18" s="34" t="n">
        <v>1500</v>
      </c>
      <c r="G18" s="35">
        <f>ROUND(F18/E18,0)</f>
        <v/>
      </c>
      <c r="H18" s="36" t="n">
        <v>10.5</v>
      </c>
      <c r="I18" s="22" t="n">
        <v>18.5</v>
      </c>
      <c r="J18" s="23">
        <f>G18*I18</f>
        <v/>
      </c>
      <c r="K18" s="24">
        <f>J18-F18</f>
        <v/>
      </c>
      <c r="L18" s="25" t="n">
        <v>23</v>
      </c>
      <c r="M18" s="26">
        <f>G18*L18</f>
        <v/>
      </c>
      <c r="N18" s="27">
        <f>M18-F18</f>
        <v/>
      </c>
      <c r="O18" s="37" t="inlineStr">
        <is>
          <t>ANOH first gas ramp +
MPNU integration +
Bonny Light $110+ realised</t>
        </is>
      </c>
    </row>
    <row r="19" ht="50" customHeight="1">
      <c r="A19" s="38" t="inlineStr">
        <is>
          <t>💵  CASH RESERVE — £500 dry powder for reactive deployment on restart/bid confirmation news</t>
        </is>
      </c>
      <c r="O19" s="39" t="inlineStr">
        <is>
          <t>Dry powder for GKP
restart news or AET
bid confirmation</t>
        </is>
      </c>
    </row>
    <row r="20" ht="28" customHeight="1">
      <c r="A20" s="40" t="inlineStr">
        <is>
          <t>💰  TOTAL</t>
        </is>
      </c>
      <c r="F20" s="41">
        <f>SUM(F15:F18)+500</f>
        <v/>
      </c>
      <c r="J20" s="42">
        <f>SUM(J15:J18)</f>
        <v/>
      </c>
      <c r="K20" s="43">
        <f>SUM(K15:K18)</f>
        <v/>
      </c>
      <c r="M20" s="42">
        <f>SUM(M15:M18)</f>
        <v/>
      </c>
      <c r="N20" s="44">
        <f>SUM(N15:N18)</f>
        <v/>
      </c>
    </row>
    <row r="21" ht="24" customHeight="1">
      <c r="A21" s="45" t="inlineStr">
        <is>
          <t>CONSERVATIVE % RETURN:  =K20/F20</t>
        </is>
      </c>
      <c r="J21" s="46" t="inlineStr">
        <is>
          <t>AGGRESSIVE % RETURN:  =N20/F20</t>
        </is>
      </c>
    </row>
    <row r="23" ht="14" customHeight="1"/>
    <row r="24" ht="20" customHeight="1">
      <c r="A24" s="47" t="inlineStr">
        <is>
          <t>KEY ASSUMPTIONS: Conservative = Oil $110/bbl (17% more from $94). Aggressive = Oil $130/bbl (38% more). AET conservative = firm bid at 100p. AET aggressive = competing bids at 120p. GKP conservative = restart + 280p. Aggressive = restart + Ceyhan premium 360p. JSE conservative = Vietnam FDP 40p. Aggressive = full analyst target 54p. SEPL conservative = 1,850p. Aggressive = 2,300p.</t>
        </is>
      </c>
    </row>
  </sheetData>
  <mergeCells count="41">
    <mergeCell ref="B11:D11"/>
    <mergeCell ref="L9:O9"/>
    <mergeCell ref="B8:D8"/>
    <mergeCell ref="I4:O4"/>
    <mergeCell ref="L6:O6"/>
    <mergeCell ref="E7:H7"/>
    <mergeCell ref="I12:K12"/>
    <mergeCell ref="L11:O11"/>
    <mergeCell ref="A21:I21"/>
    <mergeCell ref="B10:D10"/>
    <mergeCell ref="A2:O2"/>
    <mergeCell ref="I5:K5"/>
    <mergeCell ref="E12:H12"/>
    <mergeCell ref="I8:K8"/>
    <mergeCell ref="B9:D9"/>
    <mergeCell ref="L7:O7"/>
    <mergeCell ref="B6:D6"/>
    <mergeCell ref="E5:H5"/>
    <mergeCell ref="J21:O21"/>
    <mergeCell ref="B5:D5"/>
    <mergeCell ref="I10:K10"/>
    <mergeCell ref="E8:H8"/>
    <mergeCell ref="I9:K9"/>
    <mergeCell ref="L12:O12"/>
    <mergeCell ref="B12:D12"/>
    <mergeCell ref="B7:D7"/>
    <mergeCell ref="E10:H10"/>
    <mergeCell ref="I6:K6"/>
    <mergeCell ref="L5:O5"/>
    <mergeCell ref="A4:H4"/>
    <mergeCell ref="I11:K11"/>
    <mergeCell ref="L8:O8"/>
    <mergeCell ref="E9:H9"/>
    <mergeCell ref="A20:E20"/>
    <mergeCell ref="A24:O24"/>
    <mergeCell ref="E6:H6"/>
    <mergeCell ref="A1:O1"/>
    <mergeCell ref="A19:N19"/>
    <mergeCell ref="L10:O10"/>
    <mergeCell ref="E11:H11"/>
    <mergeCell ref="I7:K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6D1C4"/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0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35" customWidth="1" min="14" max="14"/>
  </cols>
  <sheetData>
    <row r="1" ht="34" customHeight="1">
      <c r="A1" s="48" t="inlineStr">
        <is>
          <t>🎯  SPECULATIVE PRICE TARGETS  |  Ukraine/Russia War Amplification Factor Applied  |  3-Month Window Mar–Jun 2026</t>
        </is>
      </c>
    </row>
    <row r="2" ht="8" customHeight="1"/>
    <row r="3" ht="42" customHeight="1">
      <c r="A3" s="49" t="inlineStr"/>
      <c r="B3" s="49" t="inlineStr">
        <is>
          <t>Ticker</t>
        </is>
      </c>
      <c r="C3" s="49" t="inlineStr">
        <is>
          <t>Company</t>
        </is>
      </c>
      <c r="D3" s="49" t="inlineStr">
        <is>
          <t>Current
Price</t>
        </is>
      </c>
      <c r="E3" s="49" t="inlineStr">
        <is>
          <t>Beta vs
Oil*</t>
        </is>
      </c>
      <c r="F3" s="49" t="inlineStr">
        <is>
          <t>Catalyst
Premium</t>
        </is>
      </c>
      <c r="G3" s="50" t="inlineStr">
        <is>
          <t>CONS.
Target
($110 oil)</t>
        </is>
      </c>
      <c r="H3" s="50" t="inlineStr">
        <is>
          <t>CONS.
Upside %</t>
        </is>
      </c>
      <c r="I3" s="50" t="inlineStr">
        <is>
          <t>CONS.
Profit/£k
invested</t>
        </is>
      </c>
      <c r="J3" s="51" t="inlineStr">
        <is>
          <t>AGG.
Target
($130 oil)</t>
        </is>
      </c>
      <c r="K3" s="51" t="inlineStr">
        <is>
          <t>AGG.
Upside %</t>
        </is>
      </c>
      <c r="L3" s="51" t="inlineStr">
        <is>
          <t>AGG.
Profit/£k
invested</t>
        </is>
      </c>
      <c r="M3" s="49" t="inlineStr">
        <is>
          <t>Stop
Loss</t>
        </is>
      </c>
      <c r="N3" s="49" t="inlineStr">
        <is>
          <t>Rationale &amp; Key Risk</t>
        </is>
      </c>
    </row>
    <row r="4" ht="65" customHeight="1">
      <c r="A4" s="29" t="inlineStr"/>
      <c r="B4" s="30" t="inlineStr">
        <is>
          <t>AET</t>
        </is>
      </c>
      <c r="C4" s="31" t="inlineStr">
        <is>
          <t>Afentra plc</t>
        </is>
      </c>
      <c r="D4" s="52" t="n">
        <v>0.72</v>
      </c>
      <c r="E4" s="53" t="inlineStr">
        <is>
          <t>2.0x</t>
        </is>
      </c>
      <c r="F4" s="54" t="inlineStr">
        <is>
          <t>+35–65%
(takeover bid)</t>
        </is>
      </c>
      <c r="G4" s="55" t="n">
        <v>1</v>
      </c>
      <c r="H4" s="56" t="inlineStr">
        <is>
          <t>+39%</t>
        </is>
      </c>
      <c r="I4" s="57" t="inlineStr">
        <is>
          <t>£390</t>
        </is>
      </c>
      <c r="J4" s="58" t="n">
        <v>1.2</v>
      </c>
      <c r="K4" s="59" t="inlineStr">
        <is>
          <t>+67%</t>
        </is>
      </c>
      <c r="L4" s="60" t="inlineStr">
        <is>
          <t>£670</t>
        </is>
      </c>
      <c r="M4" s="61" t="inlineStr">
        <is>
          <t>£0.58</t>
        </is>
      </c>
      <c r="N4" s="62" t="inlineStr">
        <is>
          <t>TAKEOVER OVERRIDES OIL BETA. Firm offer in window = 30–65% above undisturbed price (~72p). Conservative = single bidder at 100p. Aggressive = competing bids at 120p. RISK: No offer materialises → retraces to 60p. Trafigura RBL = potential acquirer insight.</t>
        </is>
      </c>
    </row>
    <row r="5" ht="65" customHeight="1">
      <c r="A5" s="14" t="inlineStr"/>
      <c r="B5" s="15" t="inlineStr">
        <is>
          <t>GKP</t>
        </is>
      </c>
      <c r="C5" s="16" t="inlineStr">
        <is>
          <t>Gulf Keystone</t>
        </is>
      </c>
      <c r="D5" s="63" t="n">
        <v>2.2</v>
      </c>
      <c r="E5" s="64" t="inlineStr">
        <is>
          <t>1.5x</t>
        </is>
      </c>
      <c r="F5" s="65" t="inlineStr">
        <is>
          <t>+25–40%
(restart + Ceyhan premium)</t>
        </is>
      </c>
      <c r="G5" s="55" t="n">
        <v>3</v>
      </c>
      <c r="H5" s="56" t="inlineStr">
        <is>
          <t>+36%</t>
        </is>
      </c>
      <c r="I5" s="57" t="inlineStr">
        <is>
          <t>£360</t>
        </is>
      </c>
      <c r="J5" s="58" t="n">
        <v>3.6</v>
      </c>
      <c r="K5" s="59" t="inlineStr">
        <is>
          <t>+64%</t>
        </is>
      </c>
      <c r="L5" s="60" t="inlineStr">
        <is>
          <t>£640</t>
        </is>
      </c>
      <c r="M5" s="66" t="inlineStr">
        <is>
          <t>£1.65</t>
        </is>
      </c>
      <c r="N5" s="67" t="inlineStr">
        <is>
          <t>During Russia-Ukraine, GKP went 140p→300p (+114%). Starting higher (220p) but same dynamics. Ceyhan pipeline = ONLY non-Hormuz route to Europe from region. Restart = cashflow return. Conservative 300p = restart + $110 oil. Aggressive 360p = international Brent pricing achieved. RISK: Security situation escalates further → shut-in extends.</t>
        </is>
      </c>
    </row>
    <row r="6" ht="65" customHeight="1">
      <c r="A6" s="29" t="inlineStr"/>
      <c r="B6" s="30" t="inlineStr">
        <is>
          <t>JSE</t>
        </is>
      </c>
      <c r="C6" s="31" t="inlineStr">
        <is>
          <t>Jadestone Energy</t>
        </is>
      </c>
      <c r="D6" s="52" t="n">
        <v>0.28</v>
      </c>
      <c r="E6" s="53" t="inlineStr">
        <is>
          <t>1.2x</t>
        </is>
      </c>
      <c r="F6" s="54" t="inlineStr">
        <is>
          <t>+20–30%
(Vietnam FDP + Malaysia drilling)</t>
        </is>
      </c>
      <c r="G6" s="55" t="n">
        <v>0.4</v>
      </c>
      <c r="H6" s="56" t="inlineStr">
        <is>
          <t>+43%</t>
        </is>
      </c>
      <c r="I6" s="57" t="inlineStr">
        <is>
          <t>£430</t>
        </is>
      </c>
      <c r="J6" s="58" t="n">
        <v>0.54</v>
      </c>
      <c r="K6" s="59" t="inlineStr">
        <is>
          <t>+93%</t>
        </is>
      </c>
      <c r="L6" s="60" t="inlineStr">
        <is>
          <t>£930</t>
        </is>
      </c>
      <c r="M6" s="61" t="inlineStr">
        <is>
          <t>£0.20</t>
        </is>
      </c>
      <c r="N6" s="62" t="inlineStr">
        <is>
          <t>Cheapest stock relative to analyst target. Vietnam FDP = reserve booking = institutional buying. Montara 47° API crude = maximum Asia-Pacific premium post-Hormuz. Conservative 40p = Vietnam FDP only. Aggressive 54p = full analyst consensus (94% upside). RISK: Vietnam FDP delayed by government paperwork → no Q2 catalyst.</t>
        </is>
      </c>
    </row>
    <row r="7" ht="65" customHeight="1">
      <c r="A7" s="14" t="inlineStr"/>
      <c r="B7" s="15" t="inlineStr">
        <is>
          <t>SEPL</t>
        </is>
      </c>
      <c r="C7" s="16" t="inlineStr">
        <is>
          <t>Seplat Energy</t>
        </is>
      </c>
      <c r="D7" s="63" t="n">
        <v>14</v>
      </c>
      <c r="E7" s="64" t="inlineStr">
        <is>
          <t>1.8x</t>
        </is>
      </c>
      <c r="F7" s="65" t="inlineStr">
        <is>
          <t>+15–25%
(Bonny Light premium + ANOH gas)</t>
        </is>
      </c>
      <c r="G7" s="55" t="n">
        <v>18.5</v>
      </c>
      <c r="H7" s="56" t="inlineStr">
        <is>
          <t>+32%</t>
        </is>
      </c>
      <c r="I7" s="57" t="inlineStr">
        <is>
          <t>£320</t>
        </is>
      </c>
      <c r="J7" s="58" t="n">
        <v>23</v>
      </c>
      <c r="K7" s="59" t="inlineStr">
        <is>
          <t>+64%</t>
        </is>
      </c>
      <c r="L7" s="60" t="inlineStr">
        <is>
          <t>£640</t>
        </is>
      </c>
      <c r="M7" s="66" t="inlineStr">
        <is>
          <t>£10.50</t>
        </is>
      </c>
      <c r="N7" s="67" t="inlineStr">
        <is>
          <t>Bonny Light = world's most premium crude (+$2–5 above Brent). ANOH first gas is transformative domestic revenue. Post-Hormuz: Bonny Light at $96–100/bbl realised. MPNU integration completes. Conservative 1850p = oil to $110 + ANOH ramp. Aggressive 2300p = Hormuz extended, IOC bidding war. RISK: Nigeria delta security incidents / government policy interference.</t>
        </is>
      </c>
    </row>
    <row r="9" ht="16" customHeight="1">
      <c r="A9" s="68" t="inlineStr">
        <is>
          <t>* Oil Beta = estimated share price amplification factor vs Brent crude % move. Based on observed 2022 Russia-Ukraine war performance of comparable AIM oil stocks. GKP 2022 beta: 1.54x | JSE 2022 beta: ~0.78x. Takeover premium overrides oil beta entirely for AET.</t>
        </is>
      </c>
    </row>
  </sheetData>
  <mergeCells count="2">
    <mergeCell ref="A9:N9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8C42"/>
    <outlinePr summaryBelow="1" summaryRight="1"/>
    <pageSetUpPr/>
  </sheetPr>
  <dimension ref="A1:I19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69" t="inlineStr">
        <is>
          <t>📈  OIL PRICE SCENARIO CALCULATOR  |  Iran War vs Russia-Ukraine Comparison  |  Change the Yellow Cells to Model Any Oil Price</t>
        </is>
      </c>
    </row>
    <row r="2" ht="10" customHeight="1"/>
    <row r="3" ht="22" customHeight="1">
      <c r="B3" s="70" t="inlineStr">
        <is>
          <t>Current Brent ($):</t>
        </is>
      </c>
      <c r="D3" s="71" t="n">
        <v>94</v>
      </c>
      <c r="E3" s="72" t="inlineStr">
        <is>
          <t>INPUT — Current oil price</t>
        </is>
      </c>
    </row>
    <row r="4" ht="22" customHeight="1">
      <c r="B4" s="70" t="inlineStr">
        <is>
          <t>Conservative Brent ($):</t>
        </is>
      </c>
      <c r="D4" s="71" t="n">
        <v>110</v>
      </c>
      <c r="E4" s="72" t="inlineStr">
        <is>
          <t>INPUT — Your conservative oil target</t>
        </is>
      </c>
    </row>
    <row r="5" ht="22" customHeight="1">
      <c r="B5" s="70" t="inlineStr">
        <is>
          <t>Aggressive Brent ($):</t>
        </is>
      </c>
      <c r="D5" s="71" t="n">
        <v>130</v>
      </c>
      <c r="E5" s="72" t="inlineStr">
        <is>
          <t>INPUT — Your aggressive oil target</t>
        </is>
      </c>
    </row>
    <row r="6" ht="22" customHeight="1">
      <c r="B6" s="70" t="inlineStr">
        <is>
          <t>Russia-Ukraine peak ($):</t>
        </is>
      </c>
      <c r="D6" s="71" t="n">
        <v>139</v>
      </c>
      <c r="E6" s="72" t="inlineStr">
        <is>
          <t>Reference — Mar 7, 2022 peak</t>
        </is>
      </c>
    </row>
    <row r="7" ht="22" customHeight="1">
      <c r="B7" s="70" t="inlineStr">
        <is>
          <t>Pre-Iran war Brent ($):</t>
        </is>
      </c>
      <c r="D7" s="71" t="n">
        <v>60</v>
      </c>
      <c r="E7" s="72" t="inlineStr">
        <is>
          <t>Reference — start of 2026</t>
        </is>
      </c>
    </row>
    <row r="8" ht="22" customHeight="1">
      <c r="B8" s="70" t="inlineStr">
        <is>
          <t>Current spike %:</t>
        </is>
      </c>
      <c r="D8" s="73">
        <f>(C3-C7)/C7</f>
        <v/>
      </c>
      <c r="E8" s="72" t="inlineStr">
        <is>
          <t>Calculated — current % spike from $60</t>
        </is>
      </c>
    </row>
    <row r="9" ht="22" customHeight="1">
      <c r="B9" s="70" t="inlineStr">
        <is>
          <t>Ukraine spike was:</t>
        </is>
      </c>
      <c r="D9" s="73">
        <f>(C6-60)/60</f>
        <v/>
      </c>
      <c r="E9" s="72" t="inlineStr">
        <is>
          <t>Reference — Ukraine spike from ~$60 pre-tension</t>
        </is>
      </c>
    </row>
    <row r="10" ht="22" customHeight="1">
      <c r="B10" s="70" t="inlineStr">
        <is>
          <t>Remaining to Ukraine peak:</t>
        </is>
      </c>
      <c r="D10" s="73">
        <f>(C6-C3)/C3</f>
        <v/>
      </c>
      <c r="E10" s="72" t="inlineStr">
        <is>
          <t>How much further to Ukraine-equivalent peak</t>
        </is>
      </c>
    </row>
    <row r="12" ht="10" customHeight="1"/>
    <row r="13" ht="38" customHeight="1">
      <c r="A13" s="11" t="inlineStr"/>
      <c r="B13" s="11" t="inlineStr">
        <is>
          <t>Stock</t>
        </is>
      </c>
      <c r="C13" s="11" t="inlineStr">
        <is>
          <t>Current
Price £</t>
        </is>
      </c>
      <c r="D13" s="11" t="inlineStr">
        <is>
          <t>Oil Beta</t>
        </is>
      </c>
      <c r="E13" s="11" t="inlineStr">
        <is>
          <t>Conservative
$110 Target £</t>
        </is>
      </c>
      <c r="F13" s="11" t="inlineStr">
        <is>
          <t>Cons.
Upside %</t>
        </is>
      </c>
      <c r="G13" s="11" t="inlineStr">
        <is>
          <t>Aggressive
$130 Target £</t>
        </is>
      </c>
      <c r="H13" s="11" t="inlineStr">
        <is>
          <t>Agg.
Upside %</t>
        </is>
      </c>
      <c r="I13" s="11" t="inlineStr">
        <is>
          <t>Stop
Loss £</t>
        </is>
      </c>
    </row>
    <row r="14" ht="24" customHeight="1">
      <c r="A14" s="29" t="inlineStr"/>
      <c r="B14" s="74" t="inlineStr">
        <is>
          <t>AET</t>
        </is>
      </c>
      <c r="C14" s="75" t="n">
        <v>0.72</v>
      </c>
      <c r="D14" s="76" t="n">
        <v>2</v>
      </c>
      <c r="E14" s="77" t="n">
        <v>1</v>
      </c>
      <c r="F14" s="78">
        <f>(E14-C14)/C14</f>
        <v/>
      </c>
      <c r="G14" s="61" t="n">
        <v>1.2</v>
      </c>
      <c r="H14" s="79">
        <f>(G14-C14)/C14</f>
        <v/>
      </c>
      <c r="I14" s="61" t="n">
        <v>0.58</v>
      </c>
    </row>
    <row r="15" ht="24" customHeight="1">
      <c r="A15" s="14" t="inlineStr"/>
      <c r="B15" s="80" t="inlineStr">
        <is>
          <t>GKP</t>
        </is>
      </c>
      <c r="C15" s="81" t="n">
        <v>2.2</v>
      </c>
      <c r="D15" s="82" t="n">
        <v>1.5</v>
      </c>
      <c r="E15" s="83" t="n">
        <v>3</v>
      </c>
      <c r="F15" s="84">
        <f>(E15-C15)/C15</f>
        <v/>
      </c>
      <c r="G15" s="66" t="n">
        <v>3.6</v>
      </c>
      <c r="H15" s="85">
        <f>(G15-C15)/C15</f>
        <v/>
      </c>
      <c r="I15" s="66" t="n">
        <v>1.65</v>
      </c>
    </row>
    <row r="16" ht="24" customHeight="1">
      <c r="A16" s="29" t="inlineStr"/>
      <c r="B16" s="74" t="inlineStr">
        <is>
          <t>JSE</t>
        </is>
      </c>
      <c r="C16" s="75" t="n">
        <v>0.28</v>
      </c>
      <c r="D16" s="76" t="n">
        <v>1.2</v>
      </c>
      <c r="E16" s="77" t="n">
        <v>0.4</v>
      </c>
      <c r="F16" s="78">
        <f>(E16-C16)/C16</f>
        <v/>
      </c>
      <c r="G16" s="61" t="n">
        <v>0.54</v>
      </c>
      <c r="H16" s="79">
        <f>(G16-C16)/C16</f>
        <v/>
      </c>
      <c r="I16" s="61" t="n">
        <v>0.2</v>
      </c>
    </row>
    <row r="17" ht="24" customHeight="1">
      <c r="A17" s="14" t="inlineStr"/>
      <c r="B17" s="80" t="inlineStr">
        <is>
          <t>SEPL</t>
        </is>
      </c>
      <c r="C17" s="81" t="n">
        <v>14</v>
      </c>
      <c r="D17" s="82" t="n">
        <v>1.8</v>
      </c>
      <c r="E17" s="83" t="n">
        <v>18.5</v>
      </c>
      <c r="F17" s="84">
        <f>(E17-C17)/C17</f>
        <v/>
      </c>
      <c r="G17" s="66" t="n">
        <v>23</v>
      </c>
      <c r="H17" s="85">
        <f>(G17-C17)/C17</f>
        <v/>
      </c>
      <c r="I17" s="66" t="n">
        <v>10.5</v>
      </c>
    </row>
    <row r="19" ht="18" customHeight="1">
      <c r="A19" s="86" t="inlineStr">
        <is>
          <t>⚡ Change the yellow cells (rows 3–7) to model ANY oil price scenario. Targets in this table are pre-set. See Allocation Model sheet for live £ return calculations.</t>
        </is>
      </c>
    </row>
  </sheetData>
  <mergeCells count="18">
    <mergeCell ref="E3:I3"/>
    <mergeCell ref="B6:C6"/>
    <mergeCell ref="A19:I19"/>
    <mergeCell ref="E4:I4"/>
    <mergeCell ref="B7:C7"/>
    <mergeCell ref="E6:I6"/>
    <mergeCell ref="E7:I7"/>
    <mergeCell ref="B3:C3"/>
    <mergeCell ref="B5:C5"/>
    <mergeCell ref="E10:I10"/>
    <mergeCell ref="B10:C10"/>
    <mergeCell ref="A1:I1"/>
    <mergeCell ref="E5:I5"/>
    <mergeCell ref="B9:C9"/>
    <mergeCell ref="E8:I8"/>
    <mergeCell ref="B8:C8"/>
    <mergeCell ref="B4:C4"/>
    <mergeCell ref="E9:I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C8CFF"/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2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2" customHeight="1">
      <c r="A1" s="87" t="inlineStr">
        <is>
          <t>📅  WEEK-BY-WEEK CATALYST TIMELINE  |  March 21 → June 21, 2026  |  When to Buy, Hold, and Exit</t>
        </is>
      </c>
    </row>
    <row r="2" ht="8" customHeight="1"/>
    <row r="3" ht="38" customHeight="1">
      <c r="A3" s="88" t="inlineStr"/>
      <c r="B3" s="88" t="inlineStr">
        <is>
          <t>Week / Date</t>
        </is>
      </c>
      <c r="C3" s="88" t="inlineStr">
        <is>
          <t>Stock(s)</t>
        </is>
      </c>
      <c r="D3" s="88" t="inlineStr">
        <is>
          <t>Event / Catalyst</t>
        </is>
      </c>
      <c r="E3" s="88" t="inlineStr">
        <is>
          <t>Bullish Outcome</t>
        </is>
      </c>
      <c r="F3" s="88" t="inlineStr">
        <is>
          <t>Bearish Outcome</t>
        </is>
      </c>
      <c r="G3" s="88" t="inlineStr">
        <is>
          <t>Action Signal</t>
        </is>
      </c>
      <c r="H3" s="88" t="inlineStr">
        <is>
          <t>Oil Price Watch</t>
        </is>
      </c>
    </row>
    <row r="4" ht="52" customHeight="1">
      <c r="A4" s="70" t="inlineStr"/>
      <c r="B4" s="74" t="inlineStr">
        <is>
          <t>NOW
Mar 19–28</t>
        </is>
      </c>
      <c r="C4" s="89" t="inlineStr">
        <is>
          <t>ALL</t>
        </is>
      </c>
      <c r="D4" s="90" t="inlineStr">
        <is>
          <t>Hormuz closure ongoing — oil at $94 +</t>
        </is>
      </c>
      <c r="E4" s="91" t="inlineStr">
        <is>
          <t>Oil holds $90–100+, all positions rally</t>
        </is>
      </c>
      <c r="F4" s="92" t="inlineStr">
        <is>
          <t>Ceasefire → oil retraces to $70 fast</t>
        </is>
      </c>
      <c r="G4" s="93" t="inlineStr">
        <is>
          <t>✅ BUY now — entry window open</t>
        </is>
      </c>
      <c r="H4" s="94" t="inlineStr">
        <is>
          <t>Watch: Tanker insurance rates daily</t>
        </is>
      </c>
    </row>
    <row r="5" ht="52" customHeight="1">
      <c r="A5" s="95" t="inlineStr"/>
      <c r="B5" s="80" t="inlineStr">
        <is>
          <t>Mar 27
(PUSU deadline)</t>
        </is>
      </c>
      <c r="C5" s="96" t="inlineStr">
        <is>
          <t>AET</t>
        </is>
      </c>
      <c r="D5" s="97" t="inlineStr">
        <is>
          <t>Afentra — 28-day put up or shut up period</t>
        </is>
      </c>
      <c r="E5" s="98" t="inlineStr">
        <is>
          <t>Bidder named publicly → AET spikes 15–20%</t>
        </is>
      </c>
      <c r="F5" s="99" t="inlineStr">
        <is>
          <t>Period extended or no bidder named</t>
        </is>
      </c>
      <c r="G5" s="100" t="inlineStr">
        <is>
          <t>🟡 Watch for RNS — set alerts</t>
        </is>
      </c>
      <c r="H5" s="101" t="inlineStr">
        <is>
          <t>Watch: London RNS feed</t>
        </is>
      </c>
    </row>
    <row r="6" ht="52" customHeight="1">
      <c r="A6" s="70" t="inlineStr"/>
      <c r="B6" s="74" t="inlineStr">
        <is>
          <t>Apr 4–11</t>
        </is>
      </c>
      <c r="C6" s="89" t="inlineStr">
        <is>
          <t>GKP</t>
        </is>
      </c>
      <c r="D6" s="90" t="inlineStr">
        <is>
          <t>AIM 100 quarterly rebalance + GKP dividend record date</t>
        </is>
      </c>
      <c r="E6" s="91" t="inlineStr">
        <is>
          <t>GKP joins AIM 100 → institutional buying</t>
        </is>
      </c>
      <c r="F6" s="92" t="inlineStr">
        <is>
          <t>No re-rate from index</t>
        </is>
      </c>
      <c r="G6" s="93" t="inlineStr">
        <is>
          <t>✅ HOLD GKP through dividend</t>
        </is>
      </c>
      <c r="H6" s="94" t="inlineStr">
        <is>
          <t>Watch: AIM 100 composition date Apr 4</t>
        </is>
      </c>
    </row>
    <row r="7" ht="52" customHeight="1">
      <c r="A7" s="95" t="inlineStr"/>
      <c r="B7" s="80" t="inlineStr">
        <is>
          <t>Apr 27</t>
        </is>
      </c>
      <c r="C7" s="96" t="inlineStr">
        <is>
          <t>GKP</t>
        </is>
      </c>
      <c r="D7" s="97" t="inlineStr">
        <is>
          <t>$12.5M INTERIM DIVIDEND payable (record Apr 10)</t>
        </is>
      </c>
      <c r="E7" s="98" t="inlineStr">
        <is>
          <t>Dividend paid + production restart news</t>
        </is>
      </c>
      <c r="F7" s="99" t="inlineStr">
        <is>
          <t>Restart still delayed — guidance vacuum</t>
        </is>
      </c>
      <c r="G7" s="100" t="inlineStr">
        <is>
          <t>✅ Must hold GKP through Apr 27</t>
        </is>
      </c>
      <c r="H7" s="101" t="inlineStr">
        <is>
          <t>Watch: KRG security bulletins</t>
        </is>
      </c>
    </row>
    <row r="8" ht="52" customHeight="1">
      <c r="A8" s="70" t="inlineStr"/>
      <c r="B8" s="74" t="inlineStr">
        <is>
          <t>Apr–May</t>
        </is>
      </c>
      <c r="C8" s="89" t="inlineStr">
        <is>
          <t>GKP</t>
        </is>
      </c>
      <c r="D8" s="90" t="inlineStr">
        <is>
          <t>Kurdistan security situation / production restart</t>
        </is>
      </c>
      <c r="E8" s="91" t="inlineStr">
        <is>
          <t>Restart announced → GKP 280p–320p</t>
        </is>
      </c>
      <c r="F8" s="92" t="inlineStr">
        <is>
          <t>Extended shut-in → retraces to 200p</t>
        </is>
      </c>
      <c r="G8" s="93" t="inlineStr">
        <is>
          <t>🔴 Critical catalyst — sell partial on 280p</t>
        </is>
      </c>
      <c r="H8" s="94" t="inlineStr">
        <is>
          <t>Watch: GKP RNS, Kurdish news agencies</t>
        </is>
      </c>
    </row>
    <row r="9" ht="52" customHeight="1">
      <c r="A9" s="95" t="inlineStr"/>
      <c r="B9" s="80" t="inlineStr">
        <is>
          <t>Apr–May</t>
        </is>
      </c>
      <c r="C9" s="96" t="inlineStr">
        <is>
          <t>JSE</t>
        </is>
      </c>
      <c r="D9" s="97" t="inlineStr">
        <is>
          <t>Vietnam FDP government approval decision</t>
        </is>
      </c>
      <c r="E9" s="98" t="inlineStr">
        <is>
          <t>FDP approved → JSE to 35–40p</t>
        </is>
      </c>
      <c r="F9" s="99" t="inlineStr">
        <is>
          <t>Delayed → flat/minor pullback</t>
        </is>
      </c>
      <c r="G9" s="100" t="inlineStr">
        <is>
          <t>✅ HOLD JSE through FDP decision</t>
        </is>
      </c>
      <c r="H9" s="101" t="inlineStr">
        <is>
          <t>Watch: Vietnam Ministry of Industry releases</t>
        </is>
      </c>
    </row>
    <row r="10" ht="52" customHeight="1">
      <c r="A10" s="70" t="inlineStr"/>
      <c r="B10" s="74" t="inlineStr">
        <is>
          <t>May</t>
        </is>
      </c>
      <c r="C10" s="89" t="inlineStr">
        <is>
          <t>JSE</t>
        </is>
      </c>
      <c r="D10" s="90" t="inlineStr">
        <is>
          <t>PM323 Malaysia infill drilling — wells 1 &amp; 2</t>
        </is>
      </c>
      <c r="E10" s="91" t="inlineStr">
        <is>
          <t>Good results → JSE to 40–45p</t>
        </is>
      </c>
      <c r="F10" s="92" t="inlineStr">
        <is>
          <t>Disappointing wells → pullback to 24p</t>
        </is>
      </c>
      <c r="G10" s="93" t="inlineStr">
        <is>
          <t>🟡 Monitor drilling updates closely</t>
        </is>
      </c>
      <c r="H10" s="94" t="inlineStr">
        <is>
          <t>Watch: JSE RNS announcements</t>
        </is>
      </c>
    </row>
    <row r="11" ht="52" customHeight="1">
      <c r="A11" s="102" t="inlineStr"/>
      <c r="B11" s="103" t="inlineStr">
        <is>
          <t>May–Jun</t>
        </is>
      </c>
      <c r="C11" s="104" t="inlineStr">
        <is>
          <t>AET</t>
        </is>
      </c>
      <c r="D11" s="105" t="inlineStr">
        <is>
          <t>Afentra — Firm offer (Rule 2.7) announcement</t>
        </is>
      </c>
      <c r="E11" s="106" t="inlineStr">
        <is>
          <t>Bid at 95–120p → 31–67% gain from 72p</t>
        </is>
      </c>
      <c r="F11" s="107" t="inlineStr">
        <is>
          <t>Review ends — no offer → AET to 60p</t>
        </is>
      </c>
      <c r="G11" s="108" t="inlineStr">
        <is>
          <t>🎯 KEY EVENT — partial exit at bid price</t>
        </is>
      </c>
      <c r="H11" s="109" t="inlineStr">
        <is>
          <t>Watch: London Stock Exchange RNS</t>
        </is>
      </c>
    </row>
    <row r="12" ht="52" customHeight="1">
      <c r="A12" s="70" t="inlineStr"/>
      <c r="B12" s="74" t="inlineStr">
        <is>
          <t>May–Jun</t>
        </is>
      </c>
      <c r="C12" s="89" t="inlineStr">
        <is>
          <t>SEPL</t>
        </is>
      </c>
      <c r="D12" s="90" t="inlineStr">
        <is>
          <t>Seplat ANOH gas ramp to full capacity</t>
        </is>
      </c>
      <c r="E12" s="91" t="inlineStr">
        <is>
          <t>ANOH + Bonny Light $100+ → SEPL 1750p+</t>
        </is>
      </c>
      <c r="F12" s="92" t="inlineStr">
        <is>
          <t>Nigeria security / regulatory issue</t>
        </is>
      </c>
      <c r="G12" s="93" t="inlineStr">
        <is>
          <t>✅ HOLD SEPL through ANOH ramp</t>
        </is>
      </c>
      <c r="H12" s="94" t="inlineStr">
        <is>
          <t>Watch: Seplat production updates</t>
        </is>
      </c>
    </row>
    <row r="13" ht="52" customHeight="1">
      <c r="A13" s="102" t="inlineStr"/>
      <c r="B13" s="103" t="inlineStr">
        <is>
          <t>Jun 2026</t>
        </is>
      </c>
      <c r="C13" s="104" t="inlineStr">
        <is>
          <t>ALL</t>
        </is>
      </c>
      <c r="D13" s="105" t="inlineStr">
        <is>
          <t>Q2 oil price peak — EIA forecasts fall in Q3</t>
        </is>
      </c>
      <c r="E13" s="106" t="inlineStr">
        <is>
          <t>Oil holds $100+ into July → extend holds</t>
        </is>
      </c>
      <c r="F13" s="107" t="inlineStr">
        <is>
          <t>Oil starts falling toward $80 → exit time</t>
        </is>
      </c>
      <c r="G13" s="108" t="inlineStr">
        <is>
          <t>🔴 BEGIN PROFIT-TAKING in June</t>
        </is>
      </c>
      <c r="H13" s="109" t="inlineStr">
        <is>
          <t>Watch: EIA STEO monthly updates</t>
        </is>
      </c>
    </row>
    <row r="14" ht="52" customHeight="1">
      <c r="A14" s="70" t="inlineStr"/>
      <c r="B14" s="74" t="inlineStr">
        <is>
          <t>Jun 2026</t>
        </is>
      </c>
      <c r="C14" s="89" t="inlineStr">
        <is>
          <t>AET</t>
        </is>
      </c>
      <c r="D14" s="90" t="inlineStr">
        <is>
          <t>Afentra — Angolan Presidential Decree for acquirer</t>
        </is>
      </c>
      <c r="E14" s="91" t="inlineStr">
        <is>
          <t>Regulatory approval → legal completion</t>
        </is>
      </c>
      <c r="F14" s="92" t="inlineStr">
        <is>
          <t>Angola delays → deal uncertainty</t>
        </is>
      </c>
      <c r="G14" s="93" t="inlineStr">
        <is>
          <t>🟡 Hold through approval process</t>
        </is>
      </c>
      <c r="H14" s="94" t="inlineStr">
        <is>
          <t>Watch: ANPG (Angola) announcements</t>
        </is>
      </c>
    </row>
    <row r="15" ht="52" customHeight="1">
      <c r="A15" s="102" t="inlineStr"/>
      <c r="B15" s="103" t="inlineStr">
        <is>
          <t>Late Jun</t>
        </is>
      </c>
      <c r="C15" s="104" t="inlineStr">
        <is>
          <t>ALL</t>
        </is>
      </c>
      <c r="D15" s="105" t="inlineStr">
        <is>
          <t>EXIT WINDOW — Q3 oil price decline begins</t>
        </is>
      </c>
      <c r="E15" s="106" t="inlineStr">
        <is>
          <t>Strong exits above all targets</t>
        </is>
      </c>
      <c r="F15" s="107" t="inlineStr">
        <is>
          <t>Oil falls to $70 → emergency exits</t>
        </is>
      </c>
      <c r="G15" s="108" t="inlineStr">
        <is>
          <t>🔴 SYSTEMATIC EXIT by June 28</t>
        </is>
      </c>
      <c r="H15" s="109" t="inlineStr">
        <is>
          <t>Watch: Brent forward curve &lt; $80 = exit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2026-03-21T08:05:20Z</dcterms:created>
  <dcterms:modified xmlns:dcterms="http://purl.org/dc/terms/" xmlns:xsi="http://www.w3.org/2001/XMLSchema-instance" xsi:type="dcterms:W3CDTF">2026-03-21T08:05:21Z</dcterms:modified>
</cp:coreProperties>
</file>