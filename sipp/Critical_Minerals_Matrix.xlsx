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tical Minerals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<sst xmlns="http://schemas.openxmlformats.org/spreadsheetml/2006/main" count="164" uniqueCount="143">
  <si>
    <t xml:space="preserve">⛏️ THE CRITICAL MINERALS MATRIX: "The War Chest" — AI Infrastructure &amp; Resource Security</t>
  </si>
  <si>
    <t xml:space="preserve">Budget: £14,300  |  Hybrid ISA/SIPP/GIA Allocation  |  Horizon: 25 Years  |  Tax-Optimised Wrapper Strategy</t>
  </si>
  <si>
    <t xml:space="preserve">Tax Logic: ISA = Tax-free gains &amp; dividends (best for high-growth LSE + dividend payers) | SIPP = Tax relief on contributions + 25-yr compounding (best for long-hold ETFs) | GIA = US-listed stocks (Freetrade restriction) + speculative positions needing trading flexibility. CGT allowance (£3,000) used strategically.</t>
  </si>
  <si>
    <t xml:space="preserve">Ticker</t>
  </si>
  <si>
    <t xml:space="preserve">Holding Name</t>
  </si>
  <si>
    <t xml:space="preserve">Account</t>
  </si>
  <si>
    <t xml:space="preserve">Initial Investment (£)</t>
  </si>
  <si>
    <t xml:space="preserve">Historical Return
(Annualized)</t>
  </si>
  <si>
    <t xml:space="preserve">Hypothetical 25-Yr
Projection (£)</t>
  </si>
  <si>
    <t xml:space="preserve">Est. Yield / Return</t>
  </si>
  <si>
    <t xml:space="preserve">Role / Mineral Focus</t>
  </si>
  <si>
    <t xml:space="preserve">Primary Driver (The "Why")</t>
  </si>
  <si>
    <t xml:space="preserve">⚡ SECTION 1: FUNDAMENTAL CONDUCTORS &amp; STRUCTURE — Copper, Aluminium, Silicon</t>
  </si>
  <si>
    <t xml:space="preserve">COPG.L</t>
  </si>
  <si>
    <t xml:space="preserve">Global X Copper Miners UCITS ETF</t>
  </si>
  <si>
    <t xml:space="preserve">ISA</t>
  </si>
  <si>
    <t xml:space="preserve">14.2% (5-Yr)</t>
  </si>
  <si>
    <t xml:space="preserve">~1.8%</t>
  </si>
  <si>
    <t xml:space="preserve">Copper Miners</t>
  </si>
  <si>
    <t xml:space="preserve">ISA: LSE-listed, high-growth. Tax-free gains on copper's 27% 2025 surge. AI data centers 2-4x more copper-intensive. Electrification megatrend.</t>
  </si>
  <si>
    <t xml:space="preserve">ANTO.L</t>
  </si>
  <si>
    <t xml:space="preserve">Antofagasta plc</t>
  </si>
  <si>
    <t xml:space="preserve">11.5% (5-Yr)</t>
  </si>
  <si>
    <t xml:space="preserve">~3.2%</t>
  </si>
  <si>
    <t xml:space="preserve">Copper Pure-Play</t>
  </si>
  <si>
    <t xml:space="preserve">ISA: FTSE 100, dividend-paying. Tax-free ~3.2% yield + capital gains. Pure copper focus. Stable Chilean jurisdiction.</t>
  </si>
  <si>
    <t xml:space="preserve">SMGB</t>
  </si>
  <si>
    <t xml:space="preserve">L&amp;G US Semiconductors ETF</t>
  </si>
  <si>
    <t xml:space="preserve">SIPP</t>
  </si>
  <si>
    <t xml:space="preserve">28.1% (5-Yr)</t>
  </si>
  <si>
    <t xml:space="preserve">Accumulating</t>
  </si>
  <si>
    <t xml:space="preserve">Silicon / Chip Makers</t>
  </si>
  <si>
    <t xml:space="preserve">SIPP: LSE-listed accumulating ETF. Tax relief on contribution + 25-yr compound = max growth. Nvidia, AMD, Broadcom. No dividends to waste.</t>
  </si>
  <si>
    <t xml:space="preserve">💎 SECTION 2: PRECIOUS METALS — Gold, Silver, Platinum, Palladium</t>
  </si>
  <si>
    <t xml:space="preserve">IGLG</t>
  </si>
  <si>
    <t xml:space="preserve">iShares Physical Gold GBP ETF</t>
  </si>
  <si>
    <t xml:space="preserve">9.0% (5-Yr)</t>
  </si>
  <si>
    <t xml:space="preserve">N/A (Commodity)</t>
  </si>
  <si>
    <t xml:space="preserve">Physical Gold</t>
  </si>
  <si>
    <t xml:space="preserve">SIPP: Long-term inflation hedge locked away for 25+ years. Tax relief on entry. No income to tax. Essential CPU connector plating material.</t>
  </si>
  <si>
    <t xml:space="preserve">PHAG.L</t>
  </si>
  <si>
    <t xml:space="preserve">WisdomTree Physical Silver</t>
  </si>
  <si>
    <t xml:space="preserve">12.5% (5-Yr)</t>
  </si>
  <si>
    <t xml:space="preserve">Physical Silver</t>
  </si>
  <si>
    <t xml:space="preserve">ISA: Higher growth potential than gold. Tax-free gains on silver's dual role: industrial demand (5G, solar, circuits) at record highs + monetary hedge.</t>
  </si>
  <si>
    <t xml:space="preserve">FRES.L</t>
  </si>
  <si>
    <t xml:space="preserve">Fresnillo plc</t>
  </si>
  <si>
    <t xml:space="preserve">12.8% (5-Yr)</t>
  </si>
  <si>
    <t xml:space="preserve">~2.5%</t>
  </si>
  <si>
    <t xml:space="preserve">Silver &amp; Gold Miner</t>
  </si>
  <si>
    <t xml:space="preserve">ISA: LSE-listed, dividend-paying. Tax-free ~2.5% yield + capital gains. World's top silver producer. Critical for cashless infrastructure.</t>
  </si>
  <si>
    <t xml:space="preserve">THS.L</t>
  </si>
  <si>
    <t xml:space="preserve">Tharisa plc</t>
  </si>
  <si>
    <t xml:space="preserve">9.5% (5-Yr)</t>
  </si>
  <si>
    <t xml:space="preserve">~6.5%</t>
  </si>
  <si>
    <t xml:space="preserve">PGMs: Platinum &amp; Chrome</t>
  </si>
  <si>
    <t xml:space="preserve">ISA: Highest yield in the matrix at ~6.5%. Tax-free dividends are the priority. Palladium for MLCCs. Platinum for sensors. Pays Jan &amp; Jun.</t>
  </si>
  <si>
    <t xml:space="preserve">🔋 SECTION 3: BATTERY &amp; ENERGY STORAGE — Lithium, Cobalt, Nickel, Graphite</t>
  </si>
  <si>
    <t xml:space="preserve">BATG</t>
  </si>
  <si>
    <t xml:space="preserve">L&amp;G Battery Value-Chain ETF</t>
  </si>
  <si>
    <t xml:space="preserve">14.5% (3-Yr)</t>
  </si>
  <si>
    <t xml:space="preserve">Full Battery Chain</t>
  </si>
  <si>
    <t xml:space="preserve">SIPP: Accumulating ETF = no dividends to tax. Tax relief + 25-yr compound on the full Li/Co/Ni/Graphite chain. UPS systems for AI data centers.</t>
  </si>
  <si>
    <t xml:space="preserve">ALL.L</t>
  </si>
  <si>
    <t xml:space="preserve">Atlantic Lithium</t>
  </si>
  <si>
    <t xml:space="preserve">GIA</t>
  </si>
  <si>
    <t xml:space="preserve">Speculative (Pre-Prod)</t>
  </si>
  <si>
    <t xml:space="preserve">N/A (Explorer)</t>
  </si>
  <si>
    <t xml:space="preserve">Lithium Scout</t>
  </si>
  <si>
    <t xml:space="preserve">GIA: Speculative explorer. Needs trading flexibility — may sell at a loss (CGT offset) or take profits within £3k CGT allowance. Ghana Ewoyaa project.</t>
  </si>
  <si>
    <t xml:space="preserve">KOD.L</t>
  </si>
  <si>
    <t xml:space="preserve">Kodal Minerals</t>
  </si>
  <si>
    <t xml:space="preserve">Lithium &amp; Gold</t>
  </si>
  <si>
    <t xml:space="preserve">GIA: High-risk penny stock. GIA allows flexible trading + CGT loss harvesting if it fails. Don't waste ISA allowance on this. Mali Bougouni project.</t>
  </si>
  <si>
    <t xml:space="preserve">☢️ SECTION 4: NUCLEAR &amp; URANIUM — Powering AI Data Centers Off-Grid</t>
  </si>
  <si>
    <t xml:space="preserve">YCA.L</t>
  </si>
  <si>
    <t xml:space="preserve">Yellow Cake plc</t>
  </si>
  <si>
    <t xml:space="preserve">22.5% (5-Yr)</t>
  </si>
  <si>
    <t xml:space="preserve">Spot (No Dividend)</t>
  </si>
  <si>
    <t xml:space="preserve">Physical Uranium</t>
  </si>
  <si>
    <t xml:space="preserve">ISA: 22.5% annualised return = massive tax-free capital gains. No dividends to worry about. Physical uranium tracks spot price. Nuclear renaissance play.</t>
  </si>
  <si>
    <t xml:space="preserve">URNP</t>
  </si>
  <si>
    <t xml:space="preserve">Sprott Uranium Miners ETF</t>
  </si>
  <si>
    <t xml:space="preserve">45.1% (3-Yr)</t>
  </si>
  <si>
    <t xml:space="preserve">~0.5%</t>
  </si>
  <si>
    <t xml:space="preserve">Uranium Miners</t>
  </si>
  <si>
    <t xml:space="preserve">SIPP: Explosive growth locked in pension wrapper. Tax relief on contribution. 45% 3-yr CAGR compounding for 25 years = extraordinary pension growth.</t>
  </si>
  <si>
    <t xml:space="preserve">🌍 SECTION 5: RARE EARTH ELEMENTS &amp; STRATEGIC METALS — Gallium, Germanium, REEs, 3Ts</t>
  </si>
  <si>
    <t xml:space="preserve">$REMX</t>
  </si>
  <si>
    <t xml:space="preserve">VanEck Rare Earth &amp; Strategic Metals ETF</t>
  </si>
  <si>
    <t xml:space="preserve">~35% (6-Mo Surge)</t>
  </si>
  <si>
    <t xml:space="preserve">~1.2%</t>
  </si>
  <si>
    <t xml:space="preserve">REE Basket</t>
  </si>
  <si>
    <t xml:space="preserve">GIA: US-listed — cannot hold in UK ISA/SIPP. Use CGT allowance on gains. 111% 6-month surge. Holds MP Materials, Lynas, Albemarle. China export ban catalyst.</t>
  </si>
  <si>
    <t xml:space="preserve">$MP</t>
  </si>
  <si>
    <t xml:space="preserve">MP Materials Corp</t>
  </si>
  <si>
    <t xml:space="preserve">~18% (3-Yr)</t>
  </si>
  <si>
    <t xml:space="preserve">N/A (Growth)</t>
  </si>
  <si>
    <t xml:space="preserve">US Rare Earths</t>
  </si>
  <si>
    <t xml:space="preserve">GIA: US-listed — must be GIA. Only scaled Western rare earth operation. US govt-backed. Neodymium/Praseodymium producer. Breaking Chinese REE monopoly.</t>
  </si>
  <si>
    <t xml:space="preserve">$CRML</t>
  </si>
  <si>
    <t xml:space="preserve">Critical Metals Corp</t>
  </si>
  <si>
    <t xml:space="preserve">Speculative (Early Stage)</t>
  </si>
  <si>
    <t xml:space="preserve">European REEs</t>
  </si>
  <si>
    <t xml:space="preserve">GIA: US-listed speculative. GIA allows CGT loss harvesting + trading flexibility. European rare earths project. Tantalum, Tungsten for defence.</t>
  </si>
  <si>
    <t xml:space="preserve">🏗️ SECTION 6: DIVERSIFIED MINERS &amp; INFRASTRUCTURE — Commodity Super-Cycle Capture</t>
  </si>
  <si>
    <t xml:space="preserve">RIO.L</t>
  </si>
  <si>
    <t xml:space="preserve">Rio Tinto</t>
  </si>
  <si>
    <t xml:space="preserve">8.5% (5-Yr)</t>
  </si>
  <si>
    <t xml:space="preserve">~5.5%</t>
  </si>
  <si>
    <t xml:space="preserve">Cu, Fe, Al, Li</t>
  </si>
  <si>
    <t xml:space="preserve">ISA: FTSE 100 dividend aristocrat. Tax-free ~5.5% yield is the priority. Aluminium for heat sinks, copper for wiring, lithium via Rincon.</t>
  </si>
  <si>
    <t xml:space="preserve">GLEN.L</t>
  </si>
  <si>
    <t xml:space="preserve">Glencore</t>
  </si>
  <si>
    <t xml:space="preserve">10.2% (5-Yr)</t>
  </si>
  <si>
    <t xml:space="preserve">~4.8% (Variable)</t>
  </si>
  <si>
    <t xml:space="preserve">Co, Cu, Zn, Ni</t>
  </si>
  <si>
    <t xml:space="preserve">ISA: World's largest cobalt producer. Tax-free ~4.8% variable dividend. Cobalt for battery UPS. Pivoting to battery recycling. Chaos hedge.</t>
  </si>
  <si>
    <t xml:space="preserve">BRWM.L</t>
  </si>
  <si>
    <t xml:space="preserve">BlackRock World Mining Trust</t>
  </si>
  <si>
    <t xml:space="preserve">5.8% (5-Yr)</t>
  </si>
  <si>
    <t xml:space="preserve">~5.8% (Quarterly)</t>
  </si>
  <si>
    <t xml:space="preserve">Diversified Mining</t>
  </si>
  <si>
    <t xml:space="preserve">SIPP: Quarterly income reinvested tax-free in pension. Tax relief on contributions. Holds Rio, Vale, Glencore, BHP. Broad commodity super-cycle.</t>
  </si>
  <si>
    <t xml:space="preserve">$TMC</t>
  </si>
  <si>
    <t xml:space="preserve">TMC the Metals Company</t>
  </si>
  <si>
    <t xml:space="preserve">Speculative (Pre-Revenue)</t>
  </si>
  <si>
    <t xml:space="preserve">N/A (Moonshot)</t>
  </si>
  <si>
    <t xml:space="preserve">Deep-Sea Minerals</t>
  </si>
  <si>
    <t xml:space="preserve">GIA: US-listed speculative moonshot. Must be GIA. CGT loss harvesting if it fails. Ocean floor Cobalt, Nickel, Manganese. Bypasses geopolitical blockades.</t>
  </si>
  <si>
    <t xml:space="preserve">TOTAL</t>
  </si>
  <si>
    <t xml:space="preserve">20 Holdings</t>
  </si>
  <si>
    <t xml:space="preserve">ISA: 8 | SIPP: 5 | GIA: 7</t>
  </si>
  <si>
    <t xml:space="preserve">📊 TAX WRAPPER ALLOCATION STRATEGY</t>
  </si>
  <si>
    <t xml:space="preserve">🔵 ISA (8 Holdings | ~£6,700): Tax-free capital gains AND dividends. Priority: (1) Highest-yielding dividend payers (Tharisa 6.5%, Rio 5.5%, Glencore 4.8%) — dividends escape 8.75-39.35% tax. (2) High-growth LSE stocks (Yellow Cake 22.5%, Copper Miners 14.2%, Silver) — gains escape 10-20% CGT.</t>
  </si>
  <si>
    <t xml:space="preserve">🟠 SIPP (5 Holdings | ~£3,700): 20-40% tax relief on contributions + untaxed compounding for 25+ years. Priority: Accumulating ETFs (no dividends wasted outside wrapper) — Semiconductors 28.1%, Battery Chain 14.5%, Uranium Miners 45.1%. Physical Gold as long-term inflation anchor. BlackRock Mining for reinvested quarterly income.</t>
  </si>
  <si>
    <t xml:space="preserve">🔴 GIA (7 Holdings | ~£3,900): US-listed stocks CANNOT be held in Freetrade ISA/SIPP — forced into GIA. Speculative explorers also in GIA for: (1) Trading flexibility to exit quickly. (2) CGT loss harvesting — crystallise losses to offset gains elsewhere. (3) Use £3,000 annual CGT allowance strategically on winners.</t>
  </si>
  <si>
    <t xml:space="preserve">⚠️ KEY RISKS &amp; SUPPLY CHAIN DYNAMICS</t>
  </si>
  <si>
    <t xml:space="preserve">  • Geopolitical Concentration: China controls 98% Gallium refining, 90% REE processing, 60%+ Germanium. Export bans = immediate supply shock.</t>
  </si>
  <si>
    <t xml:space="preserve">  • Long Lead Times: 15-20 years from mining discovery to production. Current shortfalls may persist for decades.</t>
  </si>
  <si>
    <t xml:space="preserve">  • Physical AI Demand: Rise of robotics, edge computing &amp; autonomous systems expected to further increase mineral demand by 2035.</t>
  </si>
  <si>
    <t xml:space="preserve">  • Blockchain Traceability: Supply chains increasingly tracked on-chain due to conflict minerals regulation &amp; ESG compliance.</t>
  </si>
  <si>
    <t xml:space="preserve">  • Commodity Volatility: All mineral prices subject to economic cycles, currency fluctuations &amp; speculative trading.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</si>
</sst>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color rgb="FFC8E6A0"/>
      <name val="Arial"/>
      <family val="0"/>
      <charset val="1"/>
    </font>
    <font>
      <sz val="9"/>
      <color rgb="FFA8C8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C3E1F"/>
      <name val="Arial"/>
      <family val="0"/>
      <charset val="1"/>
    </font>
    <font>
      <b val="true"/>
      <sz val="10"/>
      <color rgb="FF33691E"/>
      <name val="Arial"/>
      <family val="0"/>
      <charset val="1"/>
    </font>
    <font>
      <b val="true"/>
      <sz val="10"/>
      <color rgb="FF1A261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1A2612"/>
      <name val="Arial"/>
      <family val="0"/>
      <charset val="1"/>
    </font>
    <font>
      <b val="true"/>
      <sz val="9"/>
      <color rgb="FF558B2F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AD1457"/>
      <name val="Arial"/>
      <family val="0"/>
      <charset val="1"/>
    </font>
    <font>
      <b val="true"/>
      <sz val="13"/>
      <color rgb="FF1A2612"/>
      <name val="Arial"/>
      <family val="0"/>
      <charset val="1"/>
    </font>
    <font>
      <b val="true"/>
      <sz val="10"/>
      <color rgb="FF546E7A"/>
      <name val="Arial"/>
      <family val="0"/>
      <charset val="1"/>
    </font>
    <font>
      <b val="true"/>
      <sz val="9"/>
      <color rgb="FF37474F"/>
      <name val="Arial"/>
      <family val="0"/>
      <charset val="1"/>
    </font>
    <font>
      <b val="true"/>
      <sz val="13"/>
      <color rgb="FF2E7D32"/>
      <name val="Arial"/>
      <family val="0"/>
      <charset val="1"/>
    </font>
    <font>
      <b val="true"/>
      <sz val="11"/>
      <color rgb="FF1A2612"/>
      <name val="Arial"/>
      <family val="0"/>
      <charset val="1"/>
    </font>
    <font>
      <b val="true"/>
      <sz val="13"/>
      <color rgb="FF1565C0"/>
      <name val="Arial"/>
      <family val="0"/>
      <charset val="1"/>
    </font>
    <font>
      <b val="true"/>
      <sz val="12"/>
      <color rgb="FF1A2612"/>
      <name val="Arial"/>
      <family val="0"/>
      <charset val="1"/>
    </font>
    <font>
      <sz val="9"/>
      <color rgb="FF1565C0"/>
      <name val="Arial"/>
      <family val="0"/>
      <charset val="1"/>
    </font>
    <font>
      <sz val="9"/>
      <color rgb="FFE65100"/>
      <name val="Arial"/>
      <family val="0"/>
      <charset val="1"/>
    </font>
    <font>
      <sz val="9"/>
      <color rgb="FFAD1457"/>
      <name val="Arial"/>
      <family val="0"/>
      <charset val="1"/>
    </font>
    <font>
      <b val="true"/>
      <sz val="11"/>
      <color rgb="FFBF360C"/>
      <name val="Arial"/>
      <family val="0"/>
      <charset val="1"/>
    </font>
    <font>
      <sz val="9"/>
      <color rgb="FF61616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2612"/>
        <bgColor rgb="FF2C3E1F"/>
      </patternFill>
    </fill>
    <fill>
      <patternFill patternType="solid">
        <fgColor rgb="FF3D5229"/>
        <bgColor rgb="FF37474F"/>
      </patternFill>
    </fill>
    <fill>
      <patternFill patternType="solid">
        <fgColor rgb="FF2C3E1F"/>
        <bgColor rgb="FF3D5229"/>
      </patternFill>
    </fill>
    <fill>
      <patternFill patternType="solid">
        <fgColor rgb="FFE8F0DC"/>
        <bgColor rgb="FFE3F2FD"/>
      </patternFill>
    </fill>
    <fill>
      <patternFill patternType="solid">
        <fgColor rgb="FFF5F8F0"/>
        <bgColor rgb="FFFFF3E0"/>
      </patternFill>
    </fill>
    <fill>
      <patternFill patternType="solid">
        <fgColor rgb="FFE3F2FD"/>
        <bgColor rgb="FFE8F0DC"/>
      </patternFill>
    </fill>
    <fill>
      <patternFill patternType="solid">
        <fgColor rgb="FFFFFFFF"/>
        <bgColor rgb="FFF5F8F0"/>
      </patternFill>
    </fill>
    <fill>
      <patternFill patternType="solid">
        <fgColor rgb="FFFFF3E0"/>
        <bgColor rgb="FFF5F8F0"/>
      </patternFill>
    </fill>
    <fill>
      <patternFill patternType="solid">
        <fgColor rgb="FFFCE4EC"/>
        <bgColor rgb="FFFFF3E0"/>
      </patternFill>
    </fill>
    <fill>
      <patternFill patternType="solid">
        <fgColor rgb="FFD4E4C1"/>
        <bgColor rgb="FFC8D8B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D8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3691E"/>
      <rgbColor rgb="FF000080"/>
      <rgbColor rgb="FF558B2F"/>
      <rgbColor rgb="FF800080"/>
      <rgbColor rgb="FF008080"/>
      <rgbColor rgb="FFC8D8B0"/>
      <rgbColor rgb="FF616161"/>
      <rgbColor rgb="FF9999FF"/>
      <rgbColor rgb="FFAD1457"/>
      <rgbColor rgb="FFFFF3E0"/>
      <rgbColor rgb="FFE3F2FD"/>
      <rgbColor rgb="FF660066"/>
      <rgbColor rgb="FFFF8080"/>
      <rgbColor rgb="FF1565C0"/>
      <rgbColor rgb="FFD4E4C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0"/>
      <rgbColor rgb="FFE8F0DC"/>
      <rgbColor rgb="FFC8E6A0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E65100"/>
      <rgbColor rgb="FF546E7A"/>
      <rgbColor rgb="FFA8C880"/>
      <rgbColor rgb="FF003366"/>
      <rgbColor rgb="FF2E7D32"/>
      <rgbColor rgb="FF3D5229"/>
      <rgbColor rgb="FF1A2612"/>
      <rgbColor rgb="FFBF360C"/>
      <rgbColor rgb="FF993366"/>
      <rgbColor rgb="FF37474F"/>
      <rgbColor rgb="FF2C3E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6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4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6" hidden="false" customHeight="true" outlineLevel="0" collapsed="false"/>
    <row r="5" customFormat="false" ht="37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25.5" hidden="false" customHeight="true" outlineLevel="0" collapsed="false">
      <c r="A6" s="5" t="s">
        <v>12</v>
      </c>
      <c r="B6" s="5"/>
      <c r="C6" s="5"/>
      <c r="D6" s="5"/>
      <c r="E6" s="5"/>
      <c r="F6" s="5"/>
      <c r="G6" s="5"/>
      <c r="H6" s="5"/>
      <c r="I6" s="5"/>
    </row>
    <row r="7" customFormat="false" ht="57.75" hidden="false" customHeight="true" outlineLevel="0" collapsed="false">
      <c r="A7" s="6" t="s">
        <v>13</v>
      </c>
      <c r="B7" s="7" t="s">
        <v>14</v>
      </c>
      <c r="C7" s="8" t="s">
        <v>15</v>
      </c>
      <c r="D7" s="9" t="n">
        <v>1200</v>
      </c>
      <c r="E7" s="10" t="s">
        <v>16</v>
      </c>
      <c r="F7" s="11" t="n">
        <v>33177</v>
      </c>
      <c r="G7" s="10" t="s">
        <v>17</v>
      </c>
      <c r="H7" s="12" t="s">
        <v>18</v>
      </c>
      <c r="I7" s="13" t="s">
        <v>19</v>
      </c>
    </row>
    <row r="8" customFormat="false" ht="57.75" hidden="false" customHeight="true" outlineLevel="0" collapsed="false">
      <c r="A8" s="14" t="s">
        <v>20</v>
      </c>
      <c r="B8" s="15" t="s">
        <v>21</v>
      </c>
      <c r="C8" s="8" t="s">
        <v>15</v>
      </c>
      <c r="D8" s="16" t="n">
        <v>800</v>
      </c>
      <c r="E8" s="17" t="s">
        <v>22</v>
      </c>
      <c r="F8" s="18" t="n">
        <v>12161</v>
      </c>
      <c r="G8" s="17" t="s">
        <v>23</v>
      </c>
      <c r="H8" s="19" t="s">
        <v>24</v>
      </c>
      <c r="I8" s="20" t="s">
        <v>25</v>
      </c>
    </row>
    <row r="9" customFormat="false" ht="57.75" hidden="false" customHeight="true" outlineLevel="0" collapsed="false">
      <c r="A9" s="6" t="s">
        <v>26</v>
      </c>
      <c r="B9" s="7" t="s">
        <v>27</v>
      </c>
      <c r="C9" s="21" t="s">
        <v>28</v>
      </c>
      <c r="D9" s="9" t="n">
        <v>600</v>
      </c>
      <c r="E9" s="10" t="s">
        <v>29</v>
      </c>
      <c r="F9" s="11" t="n">
        <v>293008</v>
      </c>
      <c r="G9" s="10" t="s">
        <v>30</v>
      </c>
      <c r="H9" s="12" t="s">
        <v>31</v>
      </c>
      <c r="I9" s="13" t="s">
        <v>32</v>
      </c>
    </row>
    <row r="10" customFormat="false" ht="25.5" hidden="false" customHeight="true" outlineLevel="0" collapsed="false">
      <c r="A10" s="5" t="s">
        <v>33</v>
      </c>
      <c r="B10" s="5"/>
      <c r="C10" s="5"/>
      <c r="D10" s="5"/>
      <c r="E10" s="5"/>
      <c r="F10" s="5"/>
      <c r="G10" s="5"/>
      <c r="H10" s="5"/>
      <c r="I10" s="5"/>
    </row>
    <row r="11" customFormat="false" ht="57.75" hidden="false" customHeight="true" outlineLevel="0" collapsed="false">
      <c r="A11" s="6" t="s">
        <v>34</v>
      </c>
      <c r="B11" s="7" t="s">
        <v>35</v>
      </c>
      <c r="C11" s="21" t="s">
        <v>28</v>
      </c>
      <c r="D11" s="9" t="n">
        <v>800</v>
      </c>
      <c r="E11" s="10" t="s">
        <v>36</v>
      </c>
      <c r="F11" s="11" t="n">
        <v>6898</v>
      </c>
      <c r="G11" s="10" t="s">
        <v>37</v>
      </c>
      <c r="H11" s="12" t="s">
        <v>38</v>
      </c>
      <c r="I11" s="13" t="s">
        <v>39</v>
      </c>
    </row>
    <row r="12" customFormat="false" ht="57.75" hidden="false" customHeight="true" outlineLevel="0" collapsed="false">
      <c r="A12" s="14" t="s">
        <v>40</v>
      </c>
      <c r="B12" s="15" t="s">
        <v>41</v>
      </c>
      <c r="C12" s="8" t="s">
        <v>15</v>
      </c>
      <c r="D12" s="16" t="n">
        <v>800</v>
      </c>
      <c r="E12" s="17" t="s">
        <v>42</v>
      </c>
      <c r="F12" s="18" t="n">
        <v>15202</v>
      </c>
      <c r="G12" s="17" t="s">
        <v>37</v>
      </c>
      <c r="H12" s="19" t="s">
        <v>43</v>
      </c>
      <c r="I12" s="20" t="s">
        <v>44</v>
      </c>
    </row>
    <row r="13" customFormat="false" ht="57.75" hidden="false" customHeight="true" outlineLevel="0" collapsed="false">
      <c r="A13" s="6" t="s">
        <v>45</v>
      </c>
      <c r="B13" s="7" t="s">
        <v>46</v>
      </c>
      <c r="C13" s="8" t="s">
        <v>15</v>
      </c>
      <c r="D13" s="9" t="n">
        <v>700</v>
      </c>
      <c r="E13" s="10" t="s">
        <v>47</v>
      </c>
      <c r="F13" s="11" t="n">
        <v>14218</v>
      </c>
      <c r="G13" s="10" t="s">
        <v>48</v>
      </c>
      <c r="H13" s="12" t="s">
        <v>49</v>
      </c>
      <c r="I13" s="13" t="s">
        <v>50</v>
      </c>
    </row>
    <row r="14" customFormat="false" ht="57.75" hidden="false" customHeight="true" outlineLevel="0" collapsed="false">
      <c r="A14" s="14" t="s">
        <v>51</v>
      </c>
      <c r="B14" s="15" t="s">
        <v>52</v>
      </c>
      <c r="C14" s="8" t="s">
        <v>15</v>
      </c>
      <c r="D14" s="16" t="n">
        <v>600</v>
      </c>
      <c r="E14" s="17" t="s">
        <v>53</v>
      </c>
      <c r="F14" s="18" t="n">
        <v>5801</v>
      </c>
      <c r="G14" s="17" t="s">
        <v>54</v>
      </c>
      <c r="H14" s="19" t="s">
        <v>55</v>
      </c>
      <c r="I14" s="20" t="s">
        <v>56</v>
      </c>
    </row>
    <row r="15" customFormat="false" ht="25.5" hidden="false" customHeight="true" outlineLevel="0" collapsed="false">
      <c r="A15" s="5" t="s">
        <v>57</v>
      </c>
      <c r="B15" s="5"/>
      <c r="C15" s="5"/>
      <c r="D15" s="5"/>
      <c r="E15" s="5"/>
      <c r="F15" s="5"/>
      <c r="G15" s="5"/>
      <c r="H15" s="5"/>
      <c r="I15" s="5"/>
    </row>
    <row r="16" customFormat="false" ht="57.75" hidden="false" customHeight="true" outlineLevel="0" collapsed="false">
      <c r="A16" s="6" t="s">
        <v>58</v>
      </c>
      <c r="B16" s="7" t="s">
        <v>59</v>
      </c>
      <c r="C16" s="21" t="s">
        <v>28</v>
      </c>
      <c r="D16" s="9" t="n">
        <v>1000</v>
      </c>
      <c r="E16" s="10" t="s">
        <v>60</v>
      </c>
      <c r="F16" s="11" t="n">
        <v>29521</v>
      </c>
      <c r="G16" s="10" t="s">
        <v>30</v>
      </c>
      <c r="H16" s="12" t="s">
        <v>61</v>
      </c>
      <c r="I16" s="13" t="s">
        <v>62</v>
      </c>
    </row>
    <row r="17" customFormat="false" ht="57.75" hidden="false" customHeight="true" outlineLevel="0" collapsed="false">
      <c r="A17" s="14" t="s">
        <v>63</v>
      </c>
      <c r="B17" s="15" t="s">
        <v>64</v>
      </c>
      <c r="C17" s="22" t="s">
        <v>65</v>
      </c>
      <c r="D17" s="16" t="n">
        <v>500</v>
      </c>
      <c r="E17" s="17" t="s">
        <v>66</v>
      </c>
      <c r="F17" s="18" t="n">
        <v>16459</v>
      </c>
      <c r="G17" s="17" t="s">
        <v>67</v>
      </c>
      <c r="H17" s="19" t="s">
        <v>68</v>
      </c>
      <c r="I17" s="20" t="s">
        <v>69</v>
      </c>
    </row>
    <row r="18" customFormat="false" ht="57.75" hidden="false" customHeight="true" outlineLevel="0" collapsed="false">
      <c r="A18" s="6" t="s">
        <v>70</v>
      </c>
      <c r="B18" s="7" t="s">
        <v>71</v>
      </c>
      <c r="C18" s="22" t="s">
        <v>65</v>
      </c>
      <c r="D18" s="9" t="n">
        <v>400</v>
      </c>
      <c r="E18" s="10" t="s">
        <v>66</v>
      </c>
      <c r="F18" s="11" t="n">
        <v>6800</v>
      </c>
      <c r="G18" s="10" t="s">
        <v>67</v>
      </c>
      <c r="H18" s="12" t="s">
        <v>72</v>
      </c>
      <c r="I18" s="13" t="s">
        <v>73</v>
      </c>
    </row>
    <row r="19" customFormat="false" ht="25.5" hidden="false" customHeight="true" outlineLevel="0" collapsed="false">
      <c r="A19" s="5" t="s">
        <v>74</v>
      </c>
      <c r="B19" s="5"/>
      <c r="C19" s="5"/>
      <c r="D19" s="5"/>
      <c r="E19" s="5"/>
      <c r="F19" s="5"/>
      <c r="G19" s="5"/>
      <c r="H19" s="5"/>
      <c r="I19" s="5"/>
    </row>
    <row r="20" customFormat="false" ht="57.75" hidden="false" customHeight="true" outlineLevel="0" collapsed="false">
      <c r="A20" s="6" t="s">
        <v>75</v>
      </c>
      <c r="B20" s="7" t="s">
        <v>76</v>
      </c>
      <c r="C20" s="8" t="s">
        <v>15</v>
      </c>
      <c r="D20" s="9" t="n">
        <v>800</v>
      </c>
      <c r="E20" s="10" t="s">
        <v>77</v>
      </c>
      <c r="F20" s="11" t="n">
        <v>127789</v>
      </c>
      <c r="G20" s="10" t="s">
        <v>78</v>
      </c>
      <c r="H20" s="12" t="s">
        <v>79</v>
      </c>
      <c r="I20" s="13" t="s">
        <v>80</v>
      </c>
    </row>
    <row r="21" customFormat="false" ht="57.75" hidden="false" customHeight="true" outlineLevel="0" collapsed="false">
      <c r="A21" s="14" t="s">
        <v>81</v>
      </c>
      <c r="B21" s="15" t="s">
        <v>82</v>
      </c>
      <c r="C21" s="21" t="s">
        <v>28</v>
      </c>
      <c r="D21" s="16" t="n">
        <v>600</v>
      </c>
      <c r="E21" s="17" t="s">
        <v>83</v>
      </c>
      <c r="F21" s="18" t="n">
        <v>6604449</v>
      </c>
      <c r="G21" s="17" t="s">
        <v>84</v>
      </c>
      <c r="H21" s="19" t="s">
        <v>85</v>
      </c>
      <c r="I21" s="20" t="s">
        <v>86</v>
      </c>
    </row>
    <row r="22" customFormat="false" ht="25.5" hidden="false" customHeight="true" outlineLevel="0" collapsed="false">
      <c r="A22" s="5" t="s">
        <v>87</v>
      </c>
      <c r="B22" s="5"/>
      <c r="C22" s="5"/>
      <c r="D22" s="5"/>
      <c r="E22" s="5"/>
      <c r="F22" s="5"/>
      <c r="G22" s="5"/>
      <c r="H22" s="5"/>
      <c r="I22" s="5"/>
    </row>
    <row r="23" customFormat="false" ht="57.75" hidden="false" customHeight="true" outlineLevel="0" collapsed="false">
      <c r="A23" s="6" t="s">
        <v>88</v>
      </c>
      <c r="B23" s="7" t="s">
        <v>89</v>
      </c>
      <c r="C23" s="22" t="s">
        <v>65</v>
      </c>
      <c r="D23" s="9" t="n">
        <v>1200</v>
      </c>
      <c r="E23" s="10" t="s">
        <v>90</v>
      </c>
      <c r="F23" s="11" t="n">
        <v>20400</v>
      </c>
      <c r="G23" s="10" t="s">
        <v>91</v>
      </c>
      <c r="H23" s="12" t="s">
        <v>92</v>
      </c>
      <c r="I23" s="13" t="s">
        <v>93</v>
      </c>
    </row>
    <row r="24" customFormat="false" ht="57.75" hidden="false" customHeight="true" outlineLevel="0" collapsed="false">
      <c r="A24" s="14" t="s">
        <v>94</v>
      </c>
      <c r="B24" s="15" t="s">
        <v>95</v>
      </c>
      <c r="C24" s="22" t="s">
        <v>65</v>
      </c>
      <c r="D24" s="16" t="n">
        <v>800</v>
      </c>
      <c r="E24" s="17" t="s">
        <v>96</v>
      </c>
      <c r="F24" s="18" t="n">
        <v>50135</v>
      </c>
      <c r="G24" s="17" t="s">
        <v>97</v>
      </c>
      <c r="H24" s="19" t="s">
        <v>98</v>
      </c>
      <c r="I24" s="20" t="s">
        <v>99</v>
      </c>
    </row>
    <row r="25" customFormat="false" ht="57.75" hidden="false" customHeight="true" outlineLevel="0" collapsed="false">
      <c r="A25" s="6" t="s">
        <v>100</v>
      </c>
      <c r="B25" s="7" t="s">
        <v>101</v>
      </c>
      <c r="C25" s="22" t="s">
        <v>65</v>
      </c>
      <c r="D25" s="9" t="n">
        <v>500</v>
      </c>
      <c r="E25" s="10" t="s">
        <v>102</v>
      </c>
      <c r="F25" s="11" t="n">
        <v>16459</v>
      </c>
      <c r="G25" s="10" t="s">
        <v>67</v>
      </c>
      <c r="H25" s="12" t="s">
        <v>103</v>
      </c>
      <c r="I25" s="13" t="s">
        <v>104</v>
      </c>
    </row>
    <row r="26" customFormat="false" ht="25.5" hidden="false" customHeight="true" outlineLevel="0" collapsed="false">
      <c r="A26" s="5" t="s">
        <v>105</v>
      </c>
      <c r="B26" s="5"/>
      <c r="C26" s="5"/>
      <c r="D26" s="5"/>
      <c r="E26" s="5"/>
      <c r="F26" s="5"/>
      <c r="G26" s="5"/>
      <c r="H26" s="5"/>
      <c r="I26" s="5"/>
    </row>
    <row r="27" customFormat="false" ht="57.75" hidden="false" customHeight="true" outlineLevel="0" collapsed="false">
      <c r="A27" s="6" t="s">
        <v>106</v>
      </c>
      <c r="B27" s="7" t="s">
        <v>107</v>
      </c>
      <c r="C27" s="8" t="s">
        <v>15</v>
      </c>
      <c r="D27" s="9" t="n">
        <v>1000</v>
      </c>
      <c r="E27" s="10" t="s">
        <v>108</v>
      </c>
      <c r="F27" s="11" t="n">
        <v>7687</v>
      </c>
      <c r="G27" s="10" t="s">
        <v>109</v>
      </c>
      <c r="H27" s="12" t="s">
        <v>110</v>
      </c>
      <c r="I27" s="13" t="s">
        <v>111</v>
      </c>
    </row>
    <row r="28" customFormat="false" ht="57.75" hidden="false" customHeight="true" outlineLevel="0" collapsed="false">
      <c r="A28" s="14" t="s">
        <v>112</v>
      </c>
      <c r="B28" s="15" t="s">
        <v>113</v>
      </c>
      <c r="C28" s="8" t="s">
        <v>15</v>
      </c>
      <c r="D28" s="16" t="n">
        <v>800</v>
      </c>
      <c r="E28" s="17" t="s">
        <v>114</v>
      </c>
      <c r="F28" s="18" t="n">
        <v>9070</v>
      </c>
      <c r="G28" s="17" t="s">
        <v>115</v>
      </c>
      <c r="H28" s="19" t="s">
        <v>116</v>
      </c>
      <c r="I28" s="20" t="s">
        <v>117</v>
      </c>
    </row>
    <row r="29" customFormat="false" ht="57.75" hidden="false" customHeight="true" outlineLevel="0" collapsed="false">
      <c r="A29" s="6" t="s">
        <v>118</v>
      </c>
      <c r="B29" s="7" t="s">
        <v>119</v>
      </c>
      <c r="C29" s="21" t="s">
        <v>28</v>
      </c>
      <c r="D29" s="9" t="n">
        <v>700</v>
      </c>
      <c r="E29" s="10" t="s">
        <v>120</v>
      </c>
      <c r="F29" s="11" t="n">
        <v>2866</v>
      </c>
      <c r="G29" s="10" t="s">
        <v>121</v>
      </c>
      <c r="H29" s="12" t="s">
        <v>122</v>
      </c>
      <c r="I29" s="13" t="s">
        <v>123</v>
      </c>
    </row>
    <row r="30" customFormat="false" ht="57.75" hidden="false" customHeight="true" outlineLevel="0" collapsed="false">
      <c r="A30" s="14" t="s">
        <v>124</v>
      </c>
      <c r="B30" s="15" t="s">
        <v>125</v>
      </c>
      <c r="C30" s="22" t="s">
        <v>65</v>
      </c>
      <c r="D30" s="16" t="n">
        <v>500</v>
      </c>
      <c r="E30" s="17" t="s">
        <v>126</v>
      </c>
      <c r="F30" s="18" t="n">
        <v>16459</v>
      </c>
      <c r="G30" s="17" t="s">
        <v>127</v>
      </c>
      <c r="H30" s="19" t="s">
        <v>128</v>
      </c>
      <c r="I30" s="20" t="s">
        <v>129</v>
      </c>
    </row>
    <row r="31" customFormat="false" ht="31.5" hidden="false" customHeight="true" outlineLevel="0" collapsed="false">
      <c r="A31" s="23" t="s">
        <v>130</v>
      </c>
      <c r="B31" s="24" t="s">
        <v>131</v>
      </c>
      <c r="C31" s="25" t="s">
        <v>132</v>
      </c>
      <c r="D31" s="26" t="n">
        <f aca="false">D7+D8+D9+D11+D12+D13+D14+D16+D17+D18+D20+D21+D23+D24+D25+D27+D28+D29+D30</f>
        <v>14300</v>
      </c>
      <c r="E31" s="27"/>
      <c r="F31" s="28" t="n">
        <f aca="false">F7+F8+F9+F11+F12+F13+F14+F16+F17+F18+F20+F21+F23+F24+F25+F27+F28+F29+F30</f>
        <v>7288559</v>
      </c>
      <c r="G31" s="27"/>
      <c r="H31" s="27"/>
      <c r="I31" s="27"/>
    </row>
    <row r="33" customFormat="false" ht="27.75" hidden="false" customHeight="true" outlineLevel="0" collapsed="false">
      <c r="A33" s="29" t="s">
        <v>133</v>
      </c>
      <c r="B33" s="29"/>
      <c r="C33" s="29"/>
      <c r="D33" s="29"/>
      <c r="E33" s="29"/>
      <c r="F33" s="29"/>
      <c r="G33" s="29"/>
      <c r="H33" s="29"/>
      <c r="I33" s="29"/>
    </row>
    <row r="34" customFormat="false" ht="37.5" hidden="false" customHeight="true" outlineLevel="0" collapsed="false">
      <c r="A34" s="30" t="s">
        <v>134</v>
      </c>
      <c r="B34" s="30"/>
      <c r="C34" s="30"/>
      <c r="D34" s="30"/>
      <c r="E34" s="30"/>
      <c r="F34" s="30"/>
      <c r="G34" s="30"/>
      <c r="H34" s="30"/>
      <c r="I34" s="30"/>
    </row>
    <row r="35" customFormat="false" ht="37.5" hidden="false" customHeight="true" outlineLevel="0" collapsed="false">
      <c r="A35" s="31" t="s">
        <v>135</v>
      </c>
      <c r="B35" s="31"/>
      <c r="C35" s="31"/>
      <c r="D35" s="31"/>
      <c r="E35" s="31"/>
      <c r="F35" s="31"/>
      <c r="G35" s="31"/>
      <c r="H35" s="31"/>
      <c r="I35" s="31"/>
    </row>
    <row r="36" customFormat="false" ht="37.5" hidden="false" customHeight="true" outlineLevel="0" collapsed="false">
      <c r="A36" s="32" t="s">
        <v>136</v>
      </c>
      <c r="B36" s="32"/>
      <c r="C36" s="32"/>
      <c r="D36" s="32"/>
      <c r="E36" s="32"/>
      <c r="F36" s="32"/>
      <c r="G36" s="32"/>
      <c r="H36" s="32"/>
      <c r="I36" s="32"/>
    </row>
    <row r="38" customFormat="false" ht="24.75" hidden="false" customHeight="true" outlineLevel="0" collapsed="false">
      <c r="A38" s="33" t="s">
        <v>137</v>
      </c>
      <c r="B38" s="33"/>
      <c r="C38" s="33"/>
      <c r="D38" s="33"/>
      <c r="E38" s="33"/>
      <c r="F38" s="33"/>
      <c r="G38" s="33"/>
      <c r="H38" s="33"/>
      <c r="I38" s="33"/>
    </row>
    <row r="39" customFormat="false" ht="19.5" hidden="false" customHeight="true" outlineLevel="0" collapsed="false">
      <c r="A39" s="34" t="s">
        <v>138</v>
      </c>
      <c r="B39" s="34"/>
      <c r="C39" s="34"/>
      <c r="D39" s="34"/>
      <c r="E39" s="34"/>
      <c r="F39" s="34"/>
      <c r="G39" s="34"/>
      <c r="H39" s="34"/>
      <c r="I39" s="34"/>
    </row>
    <row r="40" customFormat="false" ht="19.5" hidden="false" customHeight="true" outlineLevel="0" collapsed="false">
      <c r="A40" s="34" t="s">
        <v>139</v>
      </c>
      <c r="B40" s="34"/>
      <c r="C40" s="34"/>
      <c r="D40" s="34"/>
      <c r="E40" s="34"/>
      <c r="F40" s="34"/>
      <c r="G40" s="34"/>
      <c r="H40" s="34"/>
      <c r="I40" s="34"/>
    </row>
    <row r="41" customFormat="false" ht="19.5" hidden="false" customHeight="true" outlineLevel="0" collapsed="false">
      <c r="A41" s="34" t="s">
        <v>140</v>
      </c>
      <c r="B41" s="34"/>
      <c r="C41" s="34"/>
      <c r="D41" s="34"/>
      <c r="E41" s="34"/>
      <c r="F41" s="34"/>
      <c r="G41" s="34"/>
      <c r="H41" s="34"/>
      <c r="I41" s="34"/>
    </row>
    <row r="42" customFormat="false" ht="19.5" hidden="false" customHeight="true" outlineLevel="0" collapsed="false">
      <c r="A42" s="34" t="s">
        <v>141</v>
      </c>
      <c r="B42" s="34"/>
      <c r="C42" s="34"/>
      <c r="D42" s="34"/>
      <c r="E42" s="34"/>
      <c r="F42" s="34"/>
      <c r="G42" s="34"/>
      <c r="H42" s="34"/>
      <c r="I42" s="34"/>
    </row>
    <row r="43" customFormat="false" ht="19.5" hidden="false" customHeight="true" outlineLevel="0" collapsed="false">
      <c r="A43" s="34" t="s">
        <v>142</v>
      </c>
      <c r="B43" s="34"/>
      <c r="C43" s="34"/>
      <c r="D43" s="34"/>
      <c r="E43" s="34"/>
      <c r="F43" s="34"/>
      <c r="G43" s="34"/>
      <c r="H43" s="34"/>
      <c r="I43" s="34"/>
    </row>
  </sheetData>
  <mergeCells count="19">
    <mergeCell ref="A1:I1"/>
    <mergeCell ref="A2:I2"/>
    <mergeCell ref="A3:I3"/>
    <mergeCell ref="A6:I6"/>
    <mergeCell ref="A10:I10"/>
    <mergeCell ref="A15:I15"/>
    <mergeCell ref="A19:I19"/>
    <mergeCell ref="A22:I22"/>
    <mergeCell ref="A26:I26"/>
    <mergeCell ref="A33:I33"/>
    <mergeCell ref="A34:I34"/>
    <mergeCell ref="A35:I35"/>
    <mergeCell ref="A36:I36"/>
    <mergeCell ref="A38:I38"/>
    <mergeCell ref="A39:I39"/>
    <mergeCell ref="A40:I40"/>
    <mergeCell ref="A41:I41"/>
    <mergeCell ref="A42:I42"/>
    <mergeCell ref="A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2026-02-23T23:47:57Z</dcterms:created>
  <dc:creator>openpyxl</dc:creator>
  <dc:description/>
  <dc:language>en-US</dc:language>
  <cp:lastModifiedBy/>
  <dcterms:modified xsi:type="dcterms:W3CDTF">2026-02-23T23:47:57Z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