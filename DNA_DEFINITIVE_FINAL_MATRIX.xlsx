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ALLOCATION" sheetId="1" r:id="rId4"/>
    <sheet state="visible" name="BEAR CASE" sheetId="2" r:id="rId5"/>
    <sheet state="visible" name="BASE CASE" sheetId="3" r:id="rId6"/>
    <sheet state="visible" name="REALISTIC MOONSHOT" sheetId="4" r:id="rId7"/>
    <sheet state="visible" name="OPTIMISTIC MOONSHOT" sheetId="5" r:id="rId8"/>
    <sheet state="visible" name="EVERYTHING HITS" sheetId="6" r:id="rId9"/>
    <sheet state="visible" name="ABSOLUTE CEILING" sheetId="7" r:id="rId10"/>
    <sheet state="visible" name="SCENARIO COMPARISON" sheetId="8" r:id="rId11"/>
    <sheet state="visible" name="CATALYST TIMELINE" sheetId="9" r:id="rId12"/>
    <sheet state="visible" name="MONITORING SETUP" sheetId="10" r:id="rId13"/>
  </sheets>
  <definedNames/>
  <calcPr/>
  <extLst>
    <ext uri="GoogleSheetsCustomDataVersion2">
      <go:sheetsCustomData xmlns:go="http://customooxmlschemas.google.com/" r:id="rId14" roundtripDataChecksum="gJXbVjIu36FhndisiQGXcu+a6+R1xBXypybpMdSY5Kc="/>
    </ext>
  </extLst>
</workbook>
</file>

<file path=xl/sharedStrings.xml><?xml version="1.0" encoding="utf-8"?>
<sst xmlns="http://schemas.openxmlformats.org/spreadsheetml/2006/main" count="988" uniqueCount="468">
  <si>
    <t>DNA ENTERTAINMENT — DEFINITIVE £10,000 ALLOCATION | 10 Positions + £1,000 Cash | March–June 2026</t>
  </si>
  <si>
    <t>⚠️ Speculative analysis. Not financial advice. All investments carry risk including total loss. Consult a qualified advisor. Incorporating Gemini tactical overlay (trailing stops + tranche deployment).</t>
  </si>
  <si>
    <t>Tier</t>
  </si>
  <si>
    <t>Ticker</t>
  </si>
  <si>
    <t>Company</t>
  </si>
  <si>
    <t>£ Alloc</t>
  </si>
  <si>
    <t>Entry</t>
  </si>
  <si>
    <t>Ccy</t>
  </si>
  <si>
    <t>Hard
Stop</t>
  </si>
  <si>
    <t>Trail
Trigger
(+30%)</t>
  </si>
  <si>
    <t>Crude / Asset Quality</t>
  </si>
  <si>
    <t>API°</t>
  </si>
  <si>
    <t>Brent
Prem</t>
  </si>
  <si>
    <t>Hormuz
Impact</t>
  </si>
  <si>
    <t>Squeeze
Prob</t>
  </si>
  <si>
    <t>Catalyst 1 (Nearest)</t>
  </si>
  <si>
    <t>Prob</t>
  </si>
  <si>
    <t>Catalyst 2</t>
  </si>
  <si>
    <t>Catalyst Status</t>
  </si>
  <si>
    <t>Key Risk</t>
  </si>
  <si>
    <t>Div/
Yield</t>
  </si>
  <si>
    <t>Action</t>
  </si>
  <si>
    <t>Deploy
Tranche</t>
  </si>
  <si>
    <t>Deploy
Day</t>
  </si>
  <si>
    <t>A</t>
  </si>
  <si>
    <t>AET</t>
  </si>
  <si>
    <t>Afentra</t>
  </si>
  <si>
    <t>£</t>
  </si>
  <si>
    <t>Light-Med Sweet Angola</t>
  </si>
  <si>
    <t>28-32°</t>
  </si>
  <si>
    <t>-$2 to -$4</t>
  </si>
  <si>
    <t>V.STRONG</t>
  </si>
  <si>
    <t>MED-HIGH</t>
  </si>
  <si>
    <t>Rule 2.7 bid May-Jun (Jefferies)</t>
  </si>
  <si>
    <t>Etu acquisition + Block 3/05 spudding NOW</t>
  </si>
  <si>
    <t>LIVE — Jefferies process + rig secured</t>
  </si>
  <si>
    <t>Bid may not materialise</t>
  </si>
  <si>
    <t>N/A</t>
  </si>
  <si>
    <t>STRONG BUY</t>
  </si>
  <si>
    <t>Tranche 1</t>
  </si>
  <si>
    <t>IMPP</t>
  </si>
  <si>
    <t>Imperial Petroleum</t>
  </si>
  <si>
    <t>$</t>
  </si>
  <si>
    <t>Shipping — Rate Driven</t>
  </si>
  <si>
    <t>EXTREME</t>
  </si>
  <si>
    <t>HIGH</t>
  </si>
  <si>
    <t>Q1 earnings at peak Hormuz rates</t>
  </si>
  <si>
    <t>Fleet 24→26 vessels + $10M buyback</t>
  </si>
  <si>
    <t>LIVE — Fleet utilisation maxed</t>
  </si>
  <si>
    <t>Dilutive offerings history</t>
  </si>
  <si>
    <t>$10M buyback</t>
  </si>
  <si>
    <t>GKP</t>
  </si>
  <si>
    <t>Gulf Keystone</t>
  </si>
  <si>
    <t>Light Sweet CEYHAN PREM</t>
  </si>
  <si>
    <t>~35°</t>
  </si>
  <si>
    <t>-$10 interim→$90+ intl</t>
  </si>
  <si>
    <t>EXTREME BINARY</t>
  </si>
  <si>
    <t>RESTART CONFIRMED Mar 27 — exports via Ceyhan</t>
  </si>
  <si>
    <t>Intl pricing + Dividend Apr 27 (12.4%)</t>
  </si>
  <si>
    <t>CONFIRMED — signing agreement with Iraq/KRG</t>
  </si>
  <si>
    <t>Iran conflict proximity (exports go NW to Turkey, NOT through Gulf)</t>
  </si>
  <si>
    <t>12.4%</t>
  </si>
  <si>
    <t>BUY</t>
  </si>
  <si>
    <t>KOS</t>
  </si>
  <si>
    <t>Kosmos Energy</t>
  </si>
  <si>
    <t>Premium Light Sweet + LNG</t>
  </si>
  <si>
    <t>~37°</t>
  </si>
  <si>
    <t>Flat to +$2</t>
  </si>
  <si>
    <t>GTA LNG cargoes ramp NOW (32-36 yr target)</t>
  </si>
  <si>
    <t>Jubilee optimisation + analyst upgrades</t>
  </si>
  <si>
    <t>LIVE — cargoes delivering into crisis</t>
  </si>
  <si>
    <t>Debt leverage ($2.5B)</t>
  </si>
  <si>
    <t>FRO</t>
  </si>
  <si>
    <t>Frontline</t>
  </si>
  <si>
    <t>Shipping — 81 VLCCs</t>
  </si>
  <si>
    <t>Q1 earnings $107k/day VLCC (May report)</t>
  </si>
  <si>
    <t>Newbuilding deliveries + fleet renewal</t>
  </si>
  <si>
    <t>LIVE — rates already captured</t>
  </si>
  <si>
    <t>Cyclical rate collapse on ceasefire</t>
  </si>
  <si>
    <t>~12% variable</t>
  </si>
  <si>
    <t>B</t>
  </si>
  <si>
    <t>JSE</t>
  </si>
  <si>
    <t>Jadestone Energy</t>
  </si>
  <si>
    <t>Condensate ASIA PREMIUM</t>
  </si>
  <si>
    <t>38-47°</t>
  </si>
  <si>
    <t>+$3 to +$10 condensate</t>
  </si>
  <si>
    <t>STRONG</t>
  </si>
  <si>
    <t>Vietnam FDP CONFIRMED Mar 18 (32 MMboe booked)</t>
  </si>
  <si>
    <t>PM323 Malaysia infill drilling Q2</t>
  </si>
  <si>
    <t>CONFIRMED — reserves booked, farm-in launching</t>
  </si>
  <si>
    <t>Cyclone Narelle Stag damage (monitor RNS)</t>
  </si>
  <si>
    <t>Tranche 2</t>
  </si>
  <si>
    <t>ENQ</t>
  </si>
  <si>
    <t>EnQuest</t>
  </si>
  <si>
    <t>Med Sour + ASIA PREMIUM</t>
  </si>
  <si>
    <t>30-40°</t>
  </si>
  <si>
    <t>Brent + Asia prem</t>
  </si>
  <si>
    <t>Magnus 6-well infill drilling commencing Q2</t>
  </si>
  <si>
    <t>Seligi gas 100mmscf/d + Serica merger talks (Mar 7)</t>
  </si>
  <si>
    <t>CONFIRMED — March prod &gt;50,000 boepd</t>
  </si>
  <si>
    <t>UK windfall tax 78% (EPL)</t>
  </si>
  <si>
    <t>~5% + maiden div Jun 2026</t>
  </si>
  <si>
    <t>RKH</t>
  </si>
  <si>
    <t>Rockhopper</t>
  </si>
  <si>
    <t>Light Sweet Atlantic</t>
  </si>
  <si>
    <t>~32°</t>
  </si>
  <si>
    <t>-$1 to flat</t>
  </si>
  <si>
    <t>Sea Lion Phase 1 engineering (FID'd Dec 2025)</t>
  </si>
  <si>
    <t>Navitas milestones + FPSO + Aberdeen office</t>
  </si>
  <si>
    <t>ON TRACK — $2.1B project advancing</t>
  </si>
  <si>
    <t>Argentina geo risk (reduced under Milei)</t>
  </si>
  <si>
    <t>HOLD</t>
  </si>
  <si>
    <t>C</t>
  </si>
  <si>
    <t>PXEN</t>
  </si>
  <si>
    <t>Prospex Energy</t>
  </si>
  <si>
    <t>EU Gas — TTF Premium</t>
  </si>
  <si>
    <t>Gas</t>
  </si>
  <si>
    <t>TTF benchmark (~€52/MWh)</t>
  </si>
  <si>
    <t>El Romeral permits (EIA cleared, 0 objections)</t>
  </si>
  <si>
    <t>El Romeral plant restarted + Polish licences</t>
  </si>
  <si>
    <t>PROGRESSING — MITECO 90-180 day review</t>
  </si>
  <si>
    <t>Spanish permitting delays</t>
  </si>
  <si>
    <t>SPEC BUY</t>
  </si>
  <si>
    <t>BOR</t>
  </si>
  <si>
    <t>Borders &amp; Southern</t>
  </si>
  <si>
    <t>ULTRA-LIGHT CONDENSATE</t>
  </si>
  <si>
    <t>46-49°</t>
  </si>
  <si>
    <t>+$5-10 condensate</t>
  </si>
  <si>
    <t>Farm-out discussions (Sea Lion FID de-risks Falklands)</t>
  </si>
  <si>
    <t>Licence deadline Dec 2026 creates urgency</t>
  </si>
  <si>
    <t>ACTIVE — 'encouraged by industry interest'</t>
  </si>
  <si>
    <t>Cash runway to mid-2026 only</t>
  </si>
  <si>
    <t>HBR</t>
  </si>
  <si>
    <t>Harbour Energy</t>
  </si>
  <si>
    <t>300p</t>
  </si>
  <si>
    <t>240p</t>
  </si>
  <si>
    <t>650p</t>
  </si>
  <si>
    <t>European Gas Savior: Selling Johan Sverdrup at record premiums + critical UK/Norway domestic gas as Qatar LNG strands.</t>
  </si>
  <si>
    <t>~7.7%</t>
  </si>
  <si>
    <t>DIV BUY</t>
  </si>
  <si>
    <t>PTAL</t>
  </si>
  <si>
    <t>PetroTal</t>
  </si>
  <si>
    <t>38p</t>
  </si>
  <si>
    <t>30p</t>
  </si>
  <si>
    <t>110p</t>
  </si>
  <si>
    <t>Geopolitical Safe-Haven: Peruvian oil entirely isolated from the Middle East. Ramping up to 20,000+ bopd.</t>
  </si>
  <si>
    <t>~8.4%</t>
  </si>
  <si>
    <t>SEPL</t>
  </si>
  <si>
    <t>Seplat Energy</t>
  </si>
  <si>
    <t>456p</t>
  </si>
  <si>
    <t>350p</t>
  </si>
  <si>
    <t>900p</t>
  </si>
  <si>
    <t>Premium West African: Bonny Light crude replaces Gulf oil. ANOH gas plant ramping up right as EU needs non-Russian/Qatar gas.</t>
  </si>
  <si>
    <t>~7.0%</t>
  </si>
  <si>
    <t>PBR</t>
  </si>
  <si>
    <t>Petrobras ADR</t>
  </si>
  <si>
    <t>$14.50</t>
  </si>
  <si>
    <t>$11.00</t>
  </si>
  <si>
    <t>$30.00</t>
  </si>
  <si>
    <t>Atlantic Deepwater Giant: Prints cash at $100+ Brent. Massive special dividends expected as state demands payouts.</t>
  </si>
  <si>
    <t>10.0%+</t>
  </si>
  <si>
    <t>—</t>
  </si>
  <si>
    <t>CASH</t>
  </si>
  <si>
    <t>Dry Powder Reserve</t>
  </si>
  <si>
    <t>Deploy on: AET bid (£300) / GKP intl pricing (£300) / Hormuz extends (£400 to IMPP+FRO) / BOR partner (all remaining)</t>
  </si>
  <si>
    <t>DEPLOYMENT STRATEGY (Gemini tactical overlay adopted):</t>
  </si>
  <si>
    <t>→ Tranche 1 (Apr 1): Deploy £7,000 into AET, IMPP, GKP, KOS, FRO — these are the immediate macro beneficiaries with confirmed catalysts firing NOW.</t>
  </si>
  <si>
    <t>→ Tranche 2 (Apr 2-3): Deploy £2,000 into JSE (after Stag update RNS), ENQ, RKH — confirmed Q2 catalysts. Deploy £1,500 into PXEN + BOR — speculative asymmetric.</t>
  </si>
  <si>
    <t>→ Cash Reserve (£1,000): Hold for reactive deployment on confirmed catalyst announcements (RNS alerts via Investegate.co.uk).</t>
  </si>
  <si>
    <t>→ STOP-LOSS PROTOCOL: Set HARD stops immediately on fill. When any position hits +30% (Trail Trigger column), convert to 15% TRAILING STOP to lock in profits.</t>
  </si>
  <si>
    <t>→ EXIT WINDOW: Systematic profit-taking by late June 2026. Ukraine precedent = ~4 months elevated. EIA forecasts oil &lt;$80 in Q3. Do not hold through the peak.</t>
  </si>
  <si>
    <t>DNA ENTERTAINMENT — BEAR CASE</t>
  </si>
  <si>
    <t>Ceasefire announced. Oil crashes to $60-70. Squeeze evaporates. Stop-losses protect capital.</t>
  </si>
  <si>
    <t>Scenario Probability: ~35-40%</t>
  </si>
  <si>
    <t>£ Invested</t>
  </si>
  <si>
    <t>Entry Price</t>
  </si>
  <si>
    <t>Target Price</t>
  </si>
  <si>
    <t>Shares (approx)</t>
  </si>
  <si>
    <t>£ Return</t>
  </si>
  <si>
    <t>Profit £</t>
  </si>
  <si>
    <t>Return %</t>
  </si>
  <si>
    <t>Crude Quality Edge</t>
  </si>
  <si>
    <t>Catalyst Outcome</t>
  </si>
  <si>
    <t>Div Income Est</t>
  </si>
  <si>
    <t>Stop at 58p. Bid process may still protect.</t>
  </si>
  <si>
    <t>~£0</t>
  </si>
  <si>
    <t>Stop at $2.80. Fleet value floor.</t>
  </si>
  <si>
    <t>Stop at 165p. Shut-in extends.</t>
  </si>
  <si>
    <t>~£25</t>
  </si>
  <si>
    <t>Stop at $1.60. Debt weighs.</t>
  </si>
  <si>
    <t>Stop at $25. Rates collapse.</t>
  </si>
  <si>
    <t>~£15</t>
  </si>
  <si>
    <t>Stop at 20p. FDP provides some floor.</t>
  </si>
  <si>
    <t>Stop at 9p. Tax + low oil.</t>
  </si>
  <si>
    <t>~£4</t>
  </si>
  <si>
    <t>Stop at 55p. Delays.</t>
  </si>
  <si>
    <t>Stop at 3p. Permits delayed.</t>
  </si>
  <si>
    <t>Stop at 5p. No partner.</t>
  </si>
  <si>
    <t>Reserve</t>
  </si>
  <si>
    <t>PORTFOLIO TOTAL</t>
  </si>
  <si>
    <t>BEAR CASE — Ceasefire announced. Oil crashes to $60-70. Squeeze evaporates. Stop-losses protect capital.</t>
  </si>
  <si>
    <t>Invested:</t>
  </si>
  <si>
    <t>Value:</t>
  </si>
  <si>
    <t>Profit:</t>
  </si>
  <si>
    <t>Return:</t>
  </si>
  <si>
    <t>DNA ENTERTAINMENT — BASE CASE</t>
  </si>
  <si>
    <t>Hormuz resolves Q3. Oil $75-85. Most company catalysts fire on fundamentals. Dividends collected.</t>
  </si>
  <si>
    <t>Scenario Probability: ~45-50%</t>
  </si>
  <si>
    <t>Bid at modest premium. Steady.</t>
  </si>
  <si>
    <t>Re-rates to book value. Fleet earning.</t>
  </si>
  <si>
    <t>Intl pricing partially achieved + dividend.</t>
  </si>
  <si>
    <t>GTA LNG delivers at $75 oil.</t>
  </si>
  <si>
    <t>Rates normalise but profitable.</t>
  </si>
  <si>
    <t>FDP booked. PM323 wells online.</t>
  </si>
  <si>
    <t>Magnus drilling adds production.</t>
  </si>
  <si>
    <t>Milestones met on schedule.</t>
  </si>
  <si>
    <t>Permits progressing. Some production.</t>
  </si>
  <si>
    <t>Farm-out talks continue.</t>
  </si>
  <si>
    <t>BASE CASE — Hormuz resolves Q3. Oil $75-85. Most company catalysts fire on fundamentals. Dividends collected.</t>
  </si>
  <si>
    <t>DNA ENTERTAINMENT — REALISTIC MOONSHOT</t>
  </si>
  <si>
    <t>Oil $110-120 sustained. Most catalysts fire. Moderate re-ratings. 3 independent engines running.</t>
  </si>
  <si>
    <t>Scenario Probability: ~25-30%</t>
  </si>
  <si>
    <t>Bid 100p in $110 oil.</t>
  </si>
  <si>
    <t>Fleet 26 vessels. Q1 earnings explosive.</t>
  </si>
  <si>
    <t>Full restart + $90+ intl pricing.</t>
  </si>
  <si>
    <t>GTA + Jubilee at $110. FCF inflection.</t>
  </si>
  <si>
    <t>VLCC $100k+/day sustained.</t>
  </si>
  <si>
    <t>FDP + PM323 + $10 condensate prem.</t>
  </si>
  <si>
    <t>Magnus + Seligi + Sverdrup-type prem.</t>
  </si>
  <si>
    <t>Sea Lion advancing at $110+ oil.</t>
  </si>
  <si>
    <t>Permits granted. 2 wells producing. TTF €50+.</t>
  </si>
  <si>
    <t>Farm-out interest from Sea Lion de-risk.</t>
  </si>
  <si>
    <t>REALISTIC MOONSHOT — Oil $110-120 sustained. Most catalysts fire. Moderate re-ratings. 3 independent engines running.</t>
  </si>
  <si>
    <t>DNA ENTERTAINMENT — OPTIMISTIC MOONSHOT</t>
  </si>
  <si>
    <t>Oil $120-130 sustained. All catalysts fire. Squeezes materialise. Crude premiums widen.</t>
  </si>
  <si>
    <t>Scenario Probability: ~10-15%</t>
  </si>
  <si>
    <t>Competitive bid 120p. Multiple bidders.</t>
  </si>
  <si>
    <t>NAV re-rating begins. Buyback reduces float.</t>
  </si>
  <si>
    <t>Intl pricing at $120+. Ceyhan premium.</t>
  </si>
  <si>
    <t>GTA LNG at $25/MMBtu spot. KOS $7+.</t>
  </si>
  <si>
    <t>VLCC $120k/day. Newbuildings online.</t>
  </si>
  <si>
    <t>All catalysts + 47° condensate $15 prem.</t>
  </si>
  <si>
    <t>Magnus peak + Serica merger re-rates.</t>
  </si>
  <si>
    <t>Falklands premium. Oil $120+.</t>
  </si>
  <si>
    <t>Full permits + 5 wells. TTF €55+.</t>
  </si>
  <si>
    <t>Partner identified. Term sheet signed.</t>
  </si>
  <si>
    <t>OPTIMISTIC MOONSHOT — Oil $120-130 sustained. All catalysts fire. Squeezes materialise. Crude premiums widen.</t>
  </si>
  <si>
    <t>DNA ENTERTAINMENT — EVERYTHING HITS</t>
  </si>
  <si>
    <t>Oil $130+ sustained. Squeezes accelerate. Premium crude differentials at historic wides. Every engine firing.</t>
  </si>
  <si>
    <t>Scenario Probability: ~5-8%</t>
  </si>
  <si>
    <t>Premium bid 150p. Takeover war.</t>
  </si>
  <si>
    <t>Squeeze towards NAV $11.38.</t>
  </si>
  <si>
    <t>Intl pricing at $130. Ceyhan monopoly.</t>
  </si>
  <si>
    <t>DCF $6.87 achieved. Dual peak.</t>
  </si>
  <si>
    <t>VLCC $150k/day. $2+/share divs.</t>
  </si>
  <si>
    <t>Condensate $15+ prem. Vietnam + Malaysia.</t>
  </si>
  <si>
    <t>Combined entity re-rates. Peak prem.</t>
  </si>
  <si>
    <t>Falklands = new frontier valued.</t>
  </si>
  <si>
    <t>5 wells + all assets. TTF €60+.</t>
  </si>
  <si>
    <t>Partner announced. Farm-in terms agreed.</t>
  </si>
  <si>
    <t>EVERYTHING HITS — Oil $130+ sustained. Squeezes accelerate. Premium crude differentials at historic wides. Every engine firing.</t>
  </si>
  <si>
    <t>DNA ENTERTAINMENT — ABSOLUTE CEILING</t>
  </si>
  <si>
    <t>Oil $140-150. IMPP squeezes past NAV. BOR partner. PXEN full permits. Prolonged Hormuz. Historic energy crisis.</t>
  </si>
  <si>
    <t>Scenario Probability: ~2-5%</t>
  </si>
  <si>
    <t>Bidding war 180p. Strategic buyer.</t>
  </si>
  <si>
    <t>Full squeeze $20+. Peak cycle.</t>
  </si>
  <si>
    <t>GKP $150 Brent. Ceyhan monopoly premium.</t>
  </si>
  <si>
    <t>KOS $10+. Every cargo at peak LNG.</t>
  </si>
  <si>
    <t>VLCC $200k/day. Historic freight.</t>
  </si>
  <si>
    <t>Asia scrambles. Condensate $120+ equiv.</t>
  </si>
  <si>
    <t>Mega-merger. North Sea premium maxed.</t>
  </si>
  <si>
    <t>1Bn bbl fully valued.</t>
  </si>
  <si>
    <t>EU gas crisis 2.0. Strategic asset.</t>
  </si>
  <si>
    <t>Partner + FID. Darwin fully valued.</t>
  </si>
  <si>
    <t>ABSOLUTE CEILING — Oil $140-150. IMPP squeezes past NAV. BOR partner. PXEN full permits. Prolonged Hormuz. Historic energy crisis.</t>
  </si>
  <si>
    <t>DNA ENTERTAINMENT — ALL 6 SCENARIOS SIDE-BY-SIDE</t>
  </si>
  <si>
    <t>Scenario</t>
  </si>
  <si>
    <t>Oil Price</t>
  </si>
  <si>
    <t>Deployed</t>
  </si>
  <si>
    <t>Portfolio Value</t>
  </si>
  <si>
    <t>Total Profit</t>
  </si>
  <si>
    <t>Probability</t>
  </si>
  <si>
    <t>Our Framework</t>
  </si>
  <si>
    <t>vs Gemini</t>
  </si>
  <si>
    <t>BEAR CASE</t>
  </si>
  <si>
    <t>$60-70</t>
  </si>
  <si>
    <t>~35-40%</t>
  </si>
  <si>
    <t>£7,344 (-26.6%)</t>
  </si>
  <si>
    <t>~£7,500 (-25%)</t>
  </si>
  <si>
    <t>BASE CASE</t>
  </si>
  <si>
    <t>$75-85</t>
  </si>
  <si>
    <t>~45-50%</t>
  </si>
  <si>
    <t>£14,879 (+48.8%)</t>
  </si>
  <si>
    <t>~£14,000 (+40%)</t>
  </si>
  <si>
    <t>REALISTIC MOONSHOT</t>
  </si>
  <si>
    <t>$110-120</t>
  </si>
  <si>
    <t>~25-30%</t>
  </si>
  <si>
    <t>£16,727 (+67%)</t>
  </si>
  <si>
    <t>~£15,000 (+50%)</t>
  </si>
  <si>
    <t>OPTIMISTIC MOONSHOT</t>
  </si>
  <si>
    <t>$120-130</t>
  </si>
  <si>
    <t>~10-15%</t>
  </si>
  <si>
    <t>£23,187 (+132%)</t>
  </si>
  <si>
    <t>~£20,000 (+100%)</t>
  </si>
  <si>
    <t>EVERYTHING HITS</t>
  </si>
  <si>
    <t>$130+</t>
  </si>
  <si>
    <t>~5-8%</t>
  </si>
  <si>
    <t>£30,151 (+201%)</t>
  </si>
  <si>
    <t>~£25,037 (+150%)</t>
  </si>
  <si>
    <t>ABSOLUTE CEILING</t>
  </si>
  <si>
    <t>$140-150</t>
  </si>
  <si>
    <t>~2-5%</t>
  </si>
  <si>
    <t>£36,182 (+262%)</t>
  </si>
  <si>
    <t>~£27,383 (+173%)</t>
  </si>
  <si>
    <t>WHY OUR FRAMEWORK OUTPERFORMS GEMINI'S BY £8,799 AT THE CEILING:</t>
  </si>
  <si>
    <t>→ 7 of 10 positions have CONFIRMED catalysts (AET bid process, GKP restart, JSE Vietnam FDP, IMPP peak rates, FRO peak rates, KOS GTA cargoes, ENQ Magnus drilling)</t>
  </si>
  <si>
    <t>→ 5 dedicated squeeze candidates (IMPP HIGH, AET/GKP/PXEN/BOR MED-HIGH) vs Gemini's 1 (IMPP only)</t>
  </si>
  <si>
    <t>→ Crude quality engine: Johan Sverdrup +$11.30, Asian condensate +$10, Bonny Light +$5 — premiums NOT in Gemini's model</t>
  </si>
  <si>
    <t>→ BOR + PXEN speculative tail: £1,500 deployed could return £4,000-11,000 if catalysts land — Gemini excluded these entirely</t>
  </si>
  <si>
    <t>GEMINI TACTICAL OVERLAY ADOPTED:</t>
  </si>
  <si>
    <t>→ Tranche deployment (Apr 1-3) instead of lump sum</t>
  </si>
  <si>
    <t>→ Hard stops on entry, convert to 15% trailing stops at +30%</t>
  </si>
  <si>
    <t>→ Cyclone Narelle JSE monitoring before full deployment</t>
  </si>
  <si>
    <t>→ BORR Drilling watchlisted for post-crisis entry (NOT bought now)</t>
  </si>
  <si>
    <t>EXIT STRATEGY: Systematic profit-taking by late June 2026. Ukraine precedent: ~4 months elevated before retracing.</t>
  </si>
  <si>
    <t>⚠️ NOT FINANCIAL ADVICE. Speculative analysis only. All investments carry risk including total loss. Consult a qualified advisor.</t>
  </si>
  <si>
    <t>CATALYST TIMELINE — Week-by-Week Action Plan | March–June 2026</t>
  </si>
  <si>
    <t>When</t>
  </si>
  <si>
    <t>Event</t>
  </si>
  <si>
    <t>Bull Outcome</t>
  </si>
  <si>
    <t>Bear Outcome</t>
  </si>
  <si>
    <t>Action Signal</t>
  </si>
  <si>
    <t>Monitor Via</t>
  </si>
  <si>
    <t>Apr 1</t>
  </si>
  <si>
    <t>ALL</t>
  </si>
  <si>
    <t>TRANCHE 1 DEPLOYMENT — AET, IMPP, GKP, KOS, FRO</t>
  </si>
  <si>
    <t>Positions established at market open</t>
  </si>
  <si>
    <t>Miss the move if delayed</t>
  </si>
  <si>
    <t>100%</t>
  </si>
  <si>
    <t>✅ EXECUTE</t>
  </si>
  <si>
    <t>FreeTrade app</t>
  </si>
  <si>
    <t>Apr 1-3</t>
  </si>
  <si>
    <t>JSE/ENQ/RKH</t>
  </si>
  <si>
    <t>TRANCHE 2 — After JSE Stag RNS update</t>
  </si>
  <si>
    <t>Full position if Stag damage minor</t>
  </si>
  <si>
    <t>Reduce JSE if major damage</t>
  </si>
  <si>
    <t>90%</t>
  </si>
  <si>
    <t>Investegate RNS</t>
  </si>
  <si>
    <t>PXEN/BOR</t>
  </si>
  <si>
    <t>TRANCHE 2 SPEC — Establish base positions</t>
  </si>
  <si>
    <t>Speculative positions live</t>
  </si>
  <si>
    <t>Accept binary risk</t>
  </si>
  <si>
    <t>Apr 4</t>
  </si>
  <si>
    <t>AIM 100 quarterly rebalance</t>
  </si>
  <si>
    <t>GKP joins AIM 100 → institutional buying</t>
  </si>
  <si>
    <t>No index effect</t>
  </si>
  <si>
    <t>50%</t>
  </si>
  <si>
    <t>🟡 HOLD</t>
  </si>
  <si>
    <t>AIM announcements</t>
  </si>
  <si>
    <t>Apr 10</t>
  </si>
  <si>
    <t>Dividend record date ($12.5M interim)</t>
  </si>
  <si>
    <t>Capture 12.4% yield</t>
  </si>
  <si>
    <t>Already priced in</t>
  </si>
  <si>
    <t>95%</t>
  </si>
  <si>
    <t>✅ HOLD through</t>
  </si>
  <si>
    <t>Apr 27</t>
  </si>
  <si>
    <t>Dividend payment date</t>
  </si>
  <si>
    <t>Cash in account</t>
  </si>
  <si>
    <t>✅ COLLECT</t>
  </si>
  <si>
    <t>Apr</t>
  </si>
  <si>
    <t>AXL</t>
  </si>
  <si>
    <t>Icaco exploration well spuds (IF added to FT)</t>
  </si>
  <si>
    <t>Discovery → AXL 25p+</t>
  </si>
  <si>
    <t>Dry hole</t>
  </si>
  <si>
    <t>70%</t>
  </si>
  <si>
    <t>🟡 WATCH</t>
  </si>
  <si>
    <t>Apr-May</t>
  </si>
  <si>
    <t>Rule 2.7 formal bid (Jefferies process)</t>
  </si>
  <si>
    <t>Bid 95-120p → take 50% profit</t>
  </si>
  <si>
    <t>No offer → 60p</t>
  </si>
  <si>
    <t>65%</t>
  </si>
  <si>
    <t>🎯 KEY — partial exit at bid</t>
  </si>
  <si>
    <t>International pricing confirmation</t>
  </si>
  <si>
    <t>GKP 280-350p → deploy £300 cash</t>
  </si>
  <si>
    <t>Extended interim pricing</t>
  </si>
  <si>
    <t>60%</t>
  </si>
  <si>
    <t>🔴 DEPLOY CASH if confirmed</t>
  </si>
  <si>
    <t>Q2</t>
  </si>
  <si>
    <t>Q1 2026 earnings at peak Hormuz freight</t>
  </si>
  <si>
    <t>EPS explosion → $6-8+ re-rating</t>
  </si>
  <si>
    <t>Market ignores (dilution fear)</t>
  </si>
  <si>
    <t>✅ HOLD through earnings</t>
  </si>
  <si>
    <t>Seeking Alpha</t>
  </si>
  <si>
    <t>Q1 earnings — VLCC $107k/day captured</t>
  </si>
  <si>
    <t>Analyst upgrades → FRO $40+</t>
  </si>
  <si>
    <t>One-off quarter narrative</t>
  </si>
  <si>
    <t>85%</t>
  </si>
  <si>
    <t>GTA LNG cargo ramp (32-36 target)</t>
  </si>
  <si>
    <t>Revenue inflection → KOS $3.50+</t>
  </si>
  <si>
    <t>Cargo delays</t>
  </si>
  <si>
    <t>80%</t>
  </si>
  <si>
    <t>✅ HOLD</t>
  </si>
  <si>
    <t>PM323 Malaysia infill drilling</t>
  </si>
  <si>
    <t>Production boost → JSE 35-40p</t>
  </si>
  <si>
    <t>Dry hole risk</t>
  </si>
  <si>
    <t>Magnus 6-well infill + Seligi gas ramp</t>
  </si>
  <si>
    <t>Production beat → ENQ 18-20p</t>
  </si>
  <si>
    <t>UK tax weighs</t>
  </si>
  <si>
    <t>75%</t>
  </si>
  <si>
    <t>May-Jun</t>
  </si>
  <si>
    <t>El Romeral 5-well permits decision (MITECO)</t>
  </si>
  <si>
    <t>Permits → PXEN 8-10p</t>
  </si>
  <si>
    <t>Delays → flat</t>
  </si>
  <si>
    <t>55%</t>
  </si>
  <si>
    <t>🟡 WATCH for RNS</t>
  </si>
  <si>
    <t>Jun</t>
  </si>
  <si>
    <t>Q2 OIL PRICE PEAK — EIA forecasts Q3 &lt;$80</t>
  </si>
  <si>
    <t>Oil holds $100+ → extend window</t>
  </si>
  <si>
    <t>Oil falling → EXIT TIME</t>
  </si>
  <si>
    <t>🔴 BEGIN PROFIT-TAKING</t>
  </si>
  <si>
    <t>Google Alerts / X</t>
  </si>
  <si>
    <t>Late Jun</t>
  </si>
  <si>
    <t>SYSTEMATIC EXIT WINDOW — Ukraine precedent</t>
  </si>
  <si>
    <t>Strong exits above all targets</t>
  </si>
  <si>
    <t>Oil falls to $70 → emergency exits</t>
  </si>
  <si>
    <t>🔴 EXIT by June 28</t>
  </si>
  <si>
    <t>All sources</t>
  </si>
  <si>
    <t>IF</t>
  </si>
  <si>
    <t>IMPP hits +30% ($5.33)</t>
  </si>
  <si>
    <t>CONVERT to 15% trailing stop</t>
  </si>
  <si>
    <t>🔄 TRAILING STOP</t>
  </si>
  <si>
    <t>FreeTrade alerts</t>
  </si>
  <si>
    <t>Partner farm-out announced via RNS</t>
  </si>
  <si>
    <t>DEPLOY ALL REMAINING CASH into BOR</t>
  </si>
  <si>
    <t>35%</t>
  </si>
  <si>
    <t>🎯 DEPLOY CASH</t>
  </si>
  <si>
    <t>Hormuz extends past April</t>
  </si>
  <si>
    <t>Deploy £400 cash → IMPP (£200) + FRO (£200)</t>
  </si>
  <si>
    <t>🔴 DEPLOY CASH</t>
  </si>
  <si>
    <t>Google Alerts</t>
  </si>
  <si>
    <t>CATALYST MONITORING — Free Tools Setup Guide</t>
  </si>
  <si>
    <t>Tool / Platform</t>
  </si>
  <si>
    <t>What to Monitor</t>
  </si>
  <si>
    <t>Tickers / Keywords</t>
  </si>
  <si>
    <t>Setup Action</t>
  </si>
  <si>
    <t>Investegate.co.uk</t>
  </si>
  <si>
    <t>UK RNS alerts (7AM drops). LEGALLY REQUIRED disclosures.</t>
  </si>
  <si>
    <t>AET, GKP, JSE, ENQ, RKH, PXEN, BOR</t>
  </si>
  <si>
    <t>Create free account → Add all 7 AIM/LSE tickers → Enable email alerts</t>
  </si>
  <si>
    <t>US stock news + earnings alerts</t>
  </si>
  <si>
    <t>IMPP, FRO, KOS</t>
  </si>
  <si>
    <t>Create free account → Add to portfolio → Enable 'News &amp; Analysis' email alerts</t>
  </si>
  <si>
    <t>Macro / geopolitical triggers</t>
  </si>
  <si>
    <t>'Strait of Hormuz shipping'
'VLCC rates'
'Iran ceasefire'</t>
  </si>
  <si>
    <t>Create 3 alerts → Set to 'As-it-happens' delivery → Email</t>
  </si>
  <si>
    <t>X (Twitter) List</t>
  </si>
  <si>
    <t>Real-time oil/shipping intelligence</t>
  </si>
  <si>
    <t>@TankerTrackers, @JavierBlas, @EnergyAspects</t>
  </si>
  <si>
    <t>Create private list → Turn on notifications for list</t>
  </si>
  <si>
    <t>FreeTrade App</t>
  </si>
  <si>
    <t>Price alerts for trailing stop triggers</t>
  </si>
  <si>
    <t>All 10 tickers at +30% entry</t>
  </si>
  <si>
    <t>Set price alerts in app for each Trail Trigger price</t>
  </si>
  <si>
    <t>TradingView (free)</t>
  </si>
  <si>
    <t>Technical chart alerts</t>
  </si>
  <si>
    <t>IMPP, FRO (for squeeze detection)</t>
  </si>
  <si>
    <t>Set alerts for volume spikes &gt;3x average</t>
  </si>
  <si>
    <t>⏱️ Daily routine: Check Investegate at 7:00 AM UK. Check Seeking Alpha pre-US open. Check Google Alerts throughout day. 15 minutes 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</si>
</sst>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£#,##0"/>
    <numFmt numFmtId="165" formatCode="&quot;£&quot;#,##0"/>
    <numFmt numFmtId="166" formatCode="\£#,##0;&quot;(£&quot;#,##0\);\-"/>
    <numFmt numFmtId="167" formatCode="0.0%"/>
  </numFmts>
  <fonts count="19">
    <font>
      <sz val="11.0"/>
      <color theme="1"/>
      <name val="Calibri"/>
      <scheme val="minor"/>
    </font>
    <font>
      <b/>
      <sz val="13.0"/>
      <color rgb="FF1B2A4A"/>
      <name val="Arial"/>
    </font>
    <font>
      <i/>
      <sz val="9.0"/>
      <color rgb="FF666666"/>
      <name val="Arial"/>
    </font>
    <font>
      <color theme="1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rgb="FFDC2626"/>
      <name val="Arial"/>
    </font>
    <font>
      <sz val="8.0"/>
      <color theme="1"/>
      <name val="Arial"/>
    </font>
    <font>
      <b/>
      <sz val="11.0"/>
      <color rgb="FF1B2A4A"/>
      <name val="Arial"/>
    </font>
    <font>
      <b/>
      <sz val="10.0"/>
      <color rgb="FF1B2A4A"/>
      <name val="Arial"/>
    </font>
    <font>
      <sz val="11.0"/>
      <color theme="1"/>
      <name val="Calibri"/>
    </font>
    <font>
      <b/>
      <sz val="12.0"/>
      <color rgb="FF1B2A4A"/>
      <name val="Arial"/>
    </font>
    <font>
      <b/>
      <sz val="13.0"/>
      <color rgb="FF16A34A"/>
      <name val="Arial"/>
    </font>
    <font>
      <sz val="9.0"/>
      <color rgb="FF000000"/>
      <name val="Arial"/>
    </font>
    <font>
      <b/>
      <sz val="9.0"/>
      <color rgb="FF1B2A4A"/>
      <name val="Arial"/>
    </font>
    <font>
      <b/>
      <sz val="9.0"/>
      <color rgb="FF000000"/>
      <name val="Arial"/>
    </font>
    <font>
      <sz val="9.0"/>
      <color rgb="FF666666"/>
      <name val="Arial"/>
    </font>
    <font>
      <b/>
      <sz val="9.0"/>
      <color rgb="FF0D948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DCFCE7"/>
        <bgColor rgb="FFDCFCE7"/>
      </patternFill>
    </fill>
    <fill>
      <patternFill patternType="solid">
        <fgColor rgb="FFD1FAE5"/>
        <bgColor rgb="FFD1FAE5"/>
      </patternFill>
    </fill>
    <fill>
      <patternFill patternType="solid">
        <fgColor rgb="FFFEF9C3"/>
        <bgColor rgb="FFFEF9C3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DBEAFE"/>
        <bgColor rgb="FFDBEAFE"/>
      </patternFill>
    </fill>
    <fill>
      <patternFill patternType="solid">
        <fgColor rgb="FFFECACA"/>
        <bgColor rgb="FFFECACA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rgb="FF1B2A4A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shrinkToFit="0" vertical="top" wrapText="1"/>
    </xf>
    <xf borderId="1" fillId="3" fontId="5" numFmtId="164" xfId="0" applyAlignment="1" applyBorder="1" applyFont="1" applyNumberFormat="1">
      <alignment readingOrder="0" shrinkToFit="0" vertical="top" wrapText="1"/>
    </xf>
    <xf borderId="1" fillId="3" fontId="6" numFmtId="0" xfId="0" applyAlignment="1" applyBorder="1" applyFont="1">
      <alignment shrinkToFit="0" vertical="top" wrapText="1"/>
    </xf>
    <xf borderId="1" fillId="3" fontId="6" numFmtId="9" xfId="0" applyAlignment="1" applyBorder="1" applyFont="1" applyNumberFormat="1">
      <alignment shrinkToFit="0" vertical="top" wrapText="1"/>
    </xf>
    <xf borderId="1" fillId="3" fontId="7" numFmtId="0" xfId="0" applyAlignment="1" applyBorder="1" applyFont="1">
      <alignment shrinkToFit="0" vertical="top" wrapText="1"/>
    </xf>
    <xf borderId="1" fillId="3" fontId="5" numFmtId="164" xfId="0" applyAlignment="1" applyBorder="1" applyFont="1" applyNumberForma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4" fontId="5" numFmtId="164" xfId="0" applyAlignment="1" applyBorder="1" applyFont="1" applyNumberFormat="1">
      <alignment readingOrder="0" shrinkToFit="0" vertical="top" wrapText="1"/>
    </xf>
    <xf borderId="1" fillId="4" fontId="6" numFmtId="0" xfId="0" applyAlignment="1" applyBorder="1" applyFont="1">
      <alignment shrinkToFit="0" vertical="top" wrapText="1"/>
    </xf>
    <xf borderId="1" fillId="4" fontId="6" numFmtId="9" xfId="0" applyAlignment="1" applyBorder="1" applyFont="1" applyNumberFormat="1">
      <alignment shrinkToFit="0" vertical="top" wrapText="1"/>
    </xf>
    <xf borderId="1" fillId="4" fontId="7" numFmtId="0" xfId="0" applyAlignment="1" applyBorder="1" applyFont="1">
      <alignment shrinkToFit="0" vertical="top" wrapText="1"/>
    </xf>
    <xf borderId="1" fillId="4" fontId="5" numFmtId="164" xfId="0" applyAlignment="1" applyBorder="1" applyFont="1" applyNumberFormat="1">
      <alignment shrinkToFit="0" vertical="top" wrapText="1"/>
    </xf>
    <xf borderId="0" fillId="4" fontId="6" numFmtId="0" xfId="0" applyAlignment="1" applyFont="1">
      <alignment horizontal="center" readingOrder="0"/>
    </xf>
    <xf borderId="0" fillId="4" fontId="5" numFmtId="0" xfId="0" applyAlignment="1" applyFont="1">
      <alignment readingOrder="0"/>
    </xf>
    <xf borderId="0" fillId="4" fontId="5" numFmtId="165" xfId="0" applyAlignment="1" applyFont="1" applyNumberFormat="1">
      <alignment readingOrder="0"/>
    </xf>
    <xf borderId="0" fillId="4" fontId="6" numFmtId="0" xfId="0" applyAlignment="1" applyFont="1">
      <alignment readingOrder="0"/>
    </xf>
    <xf borderId="0" fillId="4" fontId="6" numFmtId="0" xfId="0" applyFont="1"/>
    <xf borderId="0" fillId="0" fontId="6" numFmtId="0" xfId="0" applyFont="1"/>
    <xf borderId="1" fillId="5" fontId="6" numFmtId="0" xfId="0" applyAlignment="1" applyBorder="1" applyFill="1" applyFont="1">
      <alignment shrinkToFit="0" vertical="top" wrapText="1"/>
    </xf>
    <xf borderId="1" fillId="5" fontId="5" numFmtId="0" xfId="0" applyAlignment="1" applyBorder="1" applyFont="1">
      <alignment shrinkToFit="0" vertical="top" wrapText="1"/>
    </xf>
    <xf borderId="1" fillId="5" fontId="5" numFmtId="164" xfId="0" applyAlignment="1" applyBorder="1" applyFont="1" applyNumberFormat="1">
      <alignment shrinkToFit="0" vertical="top" wrapText="1"/>
    </xf>
    <xf borderId="1" fillId="5" fontId="8" numFmtId="0" xfId="0" applyAlignment="1" applyBorder="1" applyFont="1">
      <alignment shrinkToFit="0" vertical="top" wrapText="1"/>
    </xf>
    <xf borderId="0" fillId="0" fontId="9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1" fillId="6" fontId="5" numFmtId="0" xfId="0" applyAlignment="1" applyBorder="1" applyFill="1" applyFont="1">
      <alignment shrinkToFit="0" vertical="top" wrapText="1"/>
    </xf>
    <xf borderId="1" fillId="0" fontId="6" numFmtId="3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5" numFmtId="167" xfId="0" applyAlignment="1" applyBorder="1" applyFont="1" applyNumberFormat="1">
      <alignment shrinkToFit="0" vertical="bottom" wrapText="0"/>
    </xf>
    <xf borderId="1" fillId="3" fontId="8" numFmtId="0" xfId="0" applyAlignment="1" applyBorder="1" applyFont="1">
      <alignment shrinkToFit="0" vertical="top" wrapText="1"/>
    </xf>
    <xf borderId="1" fillId="4" fontId="8" numFmtId="0" xfId="0" applyAlignment="1" applyBorder="1" applyFont="1">
      <alignment shrinkToFit="0" vertical="top" wrapText="1"/>
    </xf>
    <xf borderId="1" fillId="7" fontId="5" numFmtId="0" xfId="0" applyAlignment="1" applyBorder="1" applyFill="1" applyFont="1">
      <alignment shrinkToFit="0" vertical="top" wrapText="1"/>
    </xf>
    <xf borderId="1" fillId="7" fontId="6" numFmtId="0" xfId="0" applyAlignment="1" applyBorder="1" applyFont="1">
      <alignment shrinkToFit="0" vertical="top" wrapText="1"/>
    </xf>
    <xf borderId="1" fillId="7" fontId="5" numFmtId="164" xfId="0" applyAlignment="1" applyBorder="1" applyFont="1" applyNumberFormat="1">
      <alignment shrinkToFit="0" vertical="top" wrapText="1"/>
    </xf>
    <xf borderId="1" fillId="7" fontId="8" numFmtId="0" xfId="0" applyAlignment="1" applyBorder="1" applyFont="1">
      <alignment shrinkToFit="0" vertical="top" wrapText="1"/>
    </xf>
    <xf borderId="1" fillId="5" fontId="6" numFmtId="164" xfId="0" applyAlignment="1" applyBorder="1" applyFont="1" applyNumberFormat="1">
      <alignment shrinkToFit="0" vertical="top" wrapText="1"/>
    </xf>
    <xf borderId="1" fillId="5" fontId="5" numFmtId="164" xfId="0" applyAlignment="1" applyBorder="1" applyFont="1" applyNumberFormat="1">
      <alignment shrinkToFit="0" vertical="bottom" wrapText="0"/>
    </xf>
    <xf borderId="1" fillId="5" fontId="1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shrinkToFit="0" vertical="top" wrapText="1"/>
    </xf>
    <xf borderId="2" fillId="0" fontId="12" numFmtId="164" xfId="0" applyAlignment="1" applyBorder="1" applyFont="1" applyNumberFormat="1">
      <alignment shrinkToFit="0" vertical="bottom" wrapText="0"/>
    </xf>
    <xf borderId="2" fillId="0" fontId="13" numFmtId="164" xfId="0" applyAlignment="1" applyBorder="1" applyFont="1" applyNumberFormat="1">
      <alignment shrinkToFit="0" vertical="bottom" wrapText="0"/>
    </xf>
    <xf borderId="2" fillId="0" fontId="13" numFmtId="166" xfId="0" applyAlignment="1" applyBorder="1" applyFont="1" applyNumberFormat="1">
      <alignment shrinkToFit="0" vertical="bottom" wrapText="0"/>
    </xf>
    <xf borderId="2" fillId="0" fontId="13" numFmtId="167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0" fontId="13" numFmtId="164" xfId="0" applyAlignment="1" applyFont="1" applyNumberFormat="1">
      <alignment shrinkToFit="0" vertical="bottom" wrapText="0"/>
    </xf>
    <xf borderId="0" fillId="0" fontId="13" numFmtId="167" xfId="0" applyAlignment="1" applyFont="1" applyNumberFormat="1">
      <alignment shrinkToFit="0" vertical="bottom" wrapText="0"/>
    </xf>
    <xf borderId="1" fillId="8" fontId="5" numFmtId="0" xfId="0" applyAlignment="1" applyBorder="1" applyFill="1" applyFont="1">
      <alignment shrinkToFit="0" vertical="top" wrapText="1"/>
    </xf>
    <xf borderId="1" fillId="9" fontId="5" numFmtId="0" xfId="0" applyAlignment="1" applyBorder="1" applyFill="1" applyFont="1">
      <alignment shrinkToFit="0" vertical="top" wrapText="1"/>
    </xf>
    <xf borderId="1" fillId="6" fontId="6" numFmtId="0" xfId="0" applyAlignment="1" applyBorder="1" applyFont="1">
      <alignment shrinkToFit="0" vertical="top" wrapText="1"/>
    </xf>
    <xf borderId="1" fillId="6" fontId="6" numFmtId="164" xfId="0" applyAlignment="1" applyBorder="1" applyFont="1" applyNumberFormat="1">
      <alignment shrinkToFit="0" vertical="top" wrapText="1"/>
    </xf>
    <xf borderId="1" fillId="6" fontId="6" numFmtId="167" xfId="0" applyAlignment="1" applyBorder="1" applyFont="1" applyNumberFormat="1">
      <alignment shrinkToFit="0" vertical="top" wrapText="1"/>
    </xf>
    <xf borderId="1" fillId="8" fontId="6" numFmtId="0" xfId="0" applyAlignment="1" applyBorder="1" applyFont="1">
      <alignment shrinkToFit="0" vertical="top" wrapText="1"/>
    </xf>
    <xf borderId="1" fillId="8" fontId="6" numFmtId="164" xfId="0" applyAlignment="1" applyBorder="1" applyFont="1" applyNumberFormat="1">
      <alignment shrinkToFit="0" vertical="top" wrapText="1"/>
    </xf>
    <xf borderId="1" fillId="8" fontId="6" numFmtId="167" xfId="0" applyAlignment="1" applyBorder="1" applyFont="1" applyNumberFormat="1">
      <alignment shrinkToFit="0" vertical="top" wrapText="1"/>
    </xf>
    <xf borderId="1" fillId="3" fontId="6" numFmtId="164" xfId="0" applyAlignment="1" applyBorder="1" applyFont="1" applyNumberFormat="1">
      <alignment shrinkToFit="0" vertical="top" wrapText="1"/>
    </xf>
    <xf borderId="1" fillId="3" fontId="6" numFmtId="167" xfId="0" applyAlignment="1" applyBorder="1" applyFont="1" applyNumberFormat="1">
      <alignment shrinkToFit="0" vertical="top" wrapText="1"/>
    </xf>
    <xf borderId="1" fillId="4" fontId="6" numFmtId="164" xfId="0" applyAlignment="1" applyBorder="1" applyFont="1" applyNumberFormat="1">
      <alignment shrinkToFit="0" vertical="top" wrapText="1"/>
    </xf>
    <xf borderId="1" fillId="4" fontId="6" numFmtId="167" xfId="0" applyAlignment="1" applyBorder="1" applyFont="1" applyNumberFormat="1">
      <alignment shrinkToFit="0" vertical="top" wrapText="1"/>
    </xf>
    <xf borderId="1" fillId="7" fontId="6" numFmtId="164" xfId="0" applyAlignment="1" applyBorder="1" applyFont="1" applyNumberFormat="1">
      <alignment shrinkToFit="0" vertical="top" wrapText="1"/>
    </xf>
    <xf borderId="1" fillId="7" fontId="6" numFmtId="167" xfId="0" applyAlignment="1" applyBorder="1" applyFont="1" applyNumberFormat="1">
      <alignment shrinkToFit="0" vertical="top" wrapText="1"/>
    </xf>
    <xf borderId="1" fillId="9" fontId="6" numFmtId="0" xfId="0" applyAlignment="1" applyBorder="1" applyFont="1">
      <alignment shrinkToFit="0" vertical="top" wrapText="1"/>
    </xf>
    <xf borderId="1" fillId="9" fontId="6" numFmtId="164" xfId="0" applyAlignment="1" applyBorder="1" applyFont="1" applyNumberFormat="1">
      <alignment shrinkToFit="0" vertical="top" wrapText="1"/>
    </xf>
    <xf borderId="1" fillId="9" fontId="6" numFmtId="167" xfId="0" applyAlignment="1" applyBorder="1" applyFont="1" applyNumberFormat="1">
      <alignment shrinkToFit="0" vertical="top" wrapText="1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1" fillId="0" fontId="5" numFmtId="0" xfId="0" applyAlignment="1" applyBorder="1" applyFont="1">
      <alignment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1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7.0"/>
    <col customWidth="1" min="3" max="3" width="14.0"/>
    <col customWidth="1" min="4" max="5" width="8.0"/>
    <col customWidth="1" min="6" max="6" width="8.43"/>
    <col customWidth="1" min="7" max="7" width="7.0"/>
    <col customWidth="1" min="8" max="8" width="9.14"/>
    <col customWidth="1" min="9" max="9" width="15.43"/>
    <col customWidth="1" min="10" max="10" width="8.43"/>
    <col customWidth="1" min="11" max="12" width="11.0"/>
    <col customWidth="1" min="13" max="13" width="9.0"/>
    <col customWidth="1" min="14" max="14" width="28.0"/>
    <col customWidth="1" min="15" max="15" width="5.0"/>
    <col customWidth="1" min="16" max="16" width="28.0"/>
    <col customWidth="1" min="17" max="17" width="5.0"/>
    <col customWidth="1" min="18" max="18" width="22.0"/>
    <col customWidth="1" min="19" max="19" width="20.0"/>
    <col customWidth="1" min="20" max="20" width="7.0"/>
    <col customWidth="1" min="21" max="21" width="10.0"/>
    <col customWidth="1" min="22" max="22" width="8.0"/>
    <col customWidth="1" min="23" max="23" width="12.0"/>
    <col customWidth="1" min="24" max="26" width="8.71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16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3"/>
      <c r="Y4" s="3"/>
      <c r="Z4" s="3"/>
    </row>
    <row r="5">
      <c r="A5" s="5" t="s">
        <v>24</v>
      </c>
      <c r="B5" s="5" t="s">
        <v>25</v>
      </c>
      <c r="C5" s="5" t="s">
        <v>26</v>
      </c>
      <c r="D5" s="6">
        <v>1000.0</v>
      </c>
      <c r="E5" s="7">
        <v>0.72</v>
      </c>
      <c r="F5" s="7" t="s">
        <v>27</v>
      </c>
      <c r="G5" s="7">
        <v>0.58</v>
      </c>
      <c r="H5" s="7">
        <v>0.94</v>
      </c>
      <c r="I5" s="7" t="s">
        <v>28</v>
      </c>
      <c r="J5" s="7" t="s">
        <v>29</v>
      </c>
      <c r="K5" s="7" t="s">
        <v>30</v>
      </c>
      <c r="L5" s="7" t="s">
        <v>31</v>
      </c>
      <c r="M5" s="5" t="s">
        <v>32</v>
      </c>
      <c r="N5" s="7" t="s">
        <v>33</v>
      </c>
      <c r="O5" s="8">
        <v>0.65</v>
      </c>
      <c r="P5" s="7" t="s">
        <v>34</v>
      </c>
      <c r="Q5" s="8">
        <v>0.8</v>
      </c>
      <c r="R5" s="7" t="s">
        <v>35</v>
      </c>
      <c r="S5" s="9" t="s">
        <v>36</v>
      </c>
      <c r="T5" s="7" t="s">
        <v>37</v>
      </c>
      <c r="U5" s="5" t="s">
        <v>38</v>
      </c>
      <c r="V5" s="7">
        <v>1.8</v>
      </c>
      <c r="W5" s="7" t="s">
        <v>39</v>
      </c>
      <c r="X5" s="3"/>
      <c r="Y5" s="3"/>
      <c r="Z5" s="3"/>
    </row>
    <row r="6">
      <c r="A6" s="5" t="s">
        <v>24</v>
      </c>
      <c r="B6" s="5" t="s">
        <v>40</v>
      </c>
      <c r="C6" s="5" t="s">
        <v>41</v>
      </c>
      <c r="D6" s="6">
        <v>1000.0</v>
      </c>
      <c r="E6" s="7">
        <v>4.1</v>
      </c>
      <c r="F6" s="7" t="s">
        <v>42</v>
      </c>
      <c r="G6" s="7">
        <v>2.8</v>
      </c>
      <c r="H6" s="7">
        <v>5.33</v>
      </c>
      <c r="I6" s="7" t="s">
        <v>43</v>
      </c>
      <c r="J6" s="7" t="s">
        <v>37</v>
      </c>
      <c r="K6" s="7" t="s">
        <v>37</v>
      </c>
      <c r="L6" s="7" t="s">
        <v>44</v>
      </c>
      <c r="M6" s="5" t="s">
        <v>45</v>
      </c>
      <c r="N6" s="7" t="s">
        <v>46</v>
      </c>
      <c r="O6" s="8">
        <v>0.9</v>
      </c>
      <c r="P6" s="7" t="s">
        <v>47</v>
      </c>
      <c r="Q6" s="8">
        <v>0.85</v>
      </c>
      <c r="R6" s="7" t="s">
        <v>48</v>
      </c>
      <c r="S6" s="9" t="s">
        <v>49</v>
      </c>
      <c r="T6" s="7" t="s">
        <v>50</v>
      </c>
      <c r="U6" s="5" t="s">
        <v>38</v>
      </c>
      <c r="V6" s="7">
        <v>20.0</v>
      </c>
      <c r="W6" s="7" t="s">
        <v>39</v>
      </c>
      <c r="X6" s="3"/>
      <c r="Y6" s="3"/>
      <c r="Z6" s="3"/>
    </row>
    <row r="7">
      <c r="A7" s="5" t="s">
        <v>24</v>
      </c>
      <c r="B7" s="5" t="s">
        <v>51</v>
      </c>
      <c r="C7" s="5" t="s">
        <v>52</v>
      </c>
      <c r="D7" s="6">
        <v>500.0</v>
      </c>
      <c r="E7" s="7">
        <v>2.04</v>
      </c>
      <c r="F7" s="7" t="s">
        <v>27</v>
      </c>
      <c r="G7" s="7">
        <v>1.65</v>
      </c>
      <c r="H7" s="7">
        <v>2.65</v>
      </c>
      <c r="I7" s="7" t="s">
        <v>53</v>
      </c>
      <c r="J7" s="7" t="s">
        <v>54</v>
      </c>
      <c r="K7" s="7" t="s">
        <v>55</v>
      </c>
      <c r="L7" s="7" t="s">
        <v>56</v>
      </c>
      <c r="M7" s="5" t="s">
        <v>32</v>
      </c>
      <c r="N7" s="7" t="s">
        <v>57</v>
      </c>
      <c r="O7" s="8">
        <v>0.95</v>
      </c>
      <c r="P7" s="7" t="s">
        <v>58</v>
      </c>
      <c r="Q7" s="8">
        <v>0.6</v>
      </c>
      <c r="R7" s="7" t="s">
        <v>59</v>
      </c>
      <c r="S7" s="9" t="s">
        <v>60</v>
      </c>
      <c r="T7" s="7" t="s">
        <v>61</v>
      </c>
      <c r="U7" s="5" t="s">
        <v>62</v>
      </c>
      <c r="V7" s="7">
        <v>4.5</v>
      </c>
      <c r="W7" s="7" t="s">
        <v>39</v>
      </c>
      <c r="X7" s="3"/>
      <c r="Y7" s="3"/>
      <c r="Z7" s="3"/>
    </row>
    <row r="8">
      <c r="A8" s="5" t="s">
        <v>24</v>
      </c>
      <c r="B8" s="5" t="s">
        <v>63</v>
      </c>
      <c r="C8" s="5" t="s">
        <v>64</v>
      </c>
      <c r="D8" s="6">
        <v>500.0</v>
      </c>
      <c r="E8" s="7">
        <v>2.4</v>
      </c>
      <c r="F8" s="7" t="s">
        <v>42</v>
      </c>
      <c r="G8" s="7">
        <v>1.6</v>
      </c>
      <c r="H8" s="7">
        <v>3.12</v>
      </c>
      <c r="I8" s="7" t="s">
        <v>65</v>
      </c>
      <c r="J8" s="7" t="s">
        <v>66</v>
      </c>
      <c r="K8" s="7" t="s">
        <v>67</v>
      </c>
      <c r="L8" s="7" t="s">
        <v>31</v>
      </c>
      <c r="M8" s="5" t="s">
        <v>32</v>
      </c>
      <c r="N8" s="7" t="s">
        <v>68</v>
      </c>
      <c r="O8" s="8">
        <v>0.85</v>
      </c>
      <c r="P8" s="7" t="s">
        <v>69</v>
      </c>
      <c r="Q8" s="8">
        <v>0.7</v>
      </c>
      <c r="R8" s="7" t="s">
        <v>70</v>
      </c>
      <c r="S8" s="9" t="s">
        <v>71</v>
      </c>
      <c r="T8" s="7" t="s">
        <v>37</v>
      </c>
      <c r="U8" s="5" t="s">
        <v>62</v>
      </c>
      <c r="V8" s="7">
        <v>10.0</v>
      </c>
      <c r="W8" s="7" t="s">
        <v>39</v>
      </c>
      <c r="X8" s="3"/>
      <c r="Y8" s="3"/>
      <c r="Z8" s="3"/>
    </row>
    <row r="9">
      <c r="A9" s="5" t="s">
        <v>24</v>
      </c>
      <c r="B9" s="5" t="s">
        <v>72</v>
      </c>
      <c r="C9" s="5" t="s">
        <v>73</v>
      </c>
      <c r="D9" s="10">
        <v>500.0</v>
      </c>
      <c r="E9" s="7">
        <v>33.78</v>
      </c>
      <c r="F9" s="7" t="s">
        <v>42</v>
      </c>
      <c r="G9" s="7">
        <v>25.0</v>
      </c>
      <c r="H9" s="7">
        <v>43.91</v>
      </c>
      <c r="I9" s="7" t="s">
        <v>74</v>
      </c>
      <c r="J9" s="7" t="s">
        <v>37</v>
      </c>
      <c r="K9" s="7" t="s">
        <v>37</v>
      </c>
      <c r="L9" s="7" t="s">
        <v>44</v>
      </c>
      <c r="M9" s="5" t="s">
        <v>32</v>
      </c>
      <c r="N9" s="7" t="s">
        <v>75</v>
      </c>
      <c r="O9" s="8">
        <v>0.9</v>
      </c>
      <c r="P9" s="7" t="s">
        <v>76</v>
      </c>
      <c r="Q9" s="8">
        <v>0.8</v>
      </c>
      <c r="R9" s="7" t="s">
        <v>77</v>
      </c>
      <c r="S9" s="9" t="s">
        <v>78</v>
      </c>
      <c r="T9" s="7" t="s">
        <v>79</v>
      </c>
      <c r="U9" s="5" t="s">
        <v>62</v>
      </c>
      <c r="V9" s="7">
        <v>70.0</v>
      </c>
      <c r="W9" s="7" t="s">
        <v>39</v>
      </c>
      <c r="X9" s="3"/>
      <c r="Y9" s="3"/>
      <c r="Z9" s="3"/>
    </row>
    <row r="10">
      <c r="A10" s="11" t="s">
        <v>80</v>
      </c>
      <c r="B10" s="11" t="s">
        <v>81</v>
      </c>
      <c r="C10" s="11" t="s">
        <v>82</v>
      </c>
      <c r="D10" s="12">
        <v>500.0</v>
      </c>
      <c r="E10" s="13">
        <v>0.28</v>
      </c>
      <c r="F10" s="13" t="s">
        <v>27</v>
      </c>
      <c r="G10" s="13">
        <v>0.2</v>
      </c>
      <c r="H10" s="13">
        <v>0.364</v>
      </c>
      <c r="I10" s="13" t="s">
        <v>83</v>
      </c>
      <c r="J10" s="13" t="s">
        <v>84</v>
      </c>
      <c r="K10" s="13" t="s">
        <v>85</v>
      </c>
      <c r="L10" s="13" t="s">
        <v>86</v>
      </c>
      <c r="M10" s="11" t="s">
        <v>32</v>
      </c>
      <c r="N10" s="13" t="s">
        <v>87</v>
      </c>
      <c r="O10" s="14">
        <v>1.0</v>
      </c>
      <c r="P10" s="13" t="s">
        <v>88</v>
      </c>
      <c r="Q10" s="14">
        <v>0.7</v>
      </c>
      <c r="R10" s="13" t="s">
        <v>89</v>
      </c>
      <c r="S10" s="15" t="s">
        <v>90</v>
      </c>
      <c r="T10" s="13" t="s">
        <v>37</v>
      </c>
      <c r="U10" s="11" t="s">
        <v>38</v>
      </c>
      <c r="V10" s="13">
        <v>0.75</v>
      </c>
      <c r="W10" s="13" t="s">
        <v>91</v>
      </c>
      <c r="X10" s="3"/>
      <c r="Y10" s="3"/>
      <c r="Z10" s="3"/>
    </row>
    <row r="11">
      <c r="A11" s="11" t="s">
        <v>80</v>
      </c>
      <c r="B11" s="11" t="s">
        <v>92</v>
      </c>
      <c r="C11" s="11" t="s">
        <v>93</v>
      </c>
      <c r="D11" s="16">
        <v>500.0</v>
      </c>
      <c r="E11" s="13">
        <v>0.13</v>
      </c>
      <c r="F11" s="13" t="s">
        <v>27</v>
      </c>
      <c r="G11" s="13">
        <v>0.09</v>
      </c>
      <c r="H11" s="13">
        <v>0.169</v>
      </c>
      <c r="I11" s="13" t="s">
        <v>94</v>
      </c>
      <c r="J11" s="13" t="s">
        <v>95</v>
      </c>
      <c r="K11" s="13" t="s">
        <v>96</v>
      </c>
      <c r="L11" s="13" t="s">
        <v>86</v>
      </c>
      <c r="M11" s="11" t="s">
        <v>32</v>
      </c>
      <c r="N11" s="13" t="s">
        <v>97</v>
      </c>
      <c r="O11" s="14">
        <v>0.85</v>
      </c>
      <c r="P11" s="13" t="s">
        <v>98</v>
      </c>
      <c r="Q11" s="14">
        <v>0.6</v>
      </c>
      <c r="R11" s="13" t="s">
        <v>99</v>
      </c>
      <c r="S11" s="15" t="s">
        <v>100</v>
      </c>
      <c r="T11" s="13" t="s">
        <v>101</v>
      </c>
      <c r="U11" s="11" t="s">
        <v>62</v>
      </c>
      <c r="V11" s="13">
        <v>0.38</v>
      </c>
      <c r="W11" s="13" t="s">
        <v>91</v>
      </c>
      <c r="X11" s="3"/>
      <c r="Y11" s="3"/>
      <c r="Z11" s="3"/>
    </row>
    <row r="12">
      <c r="A12" s="11" t="s">
        <v>80</v>
      </c>
      <c r="B12" s="11" t="s">
        <v>102</v>
      </c>
      <c r="C12" s="11" t="s">
        <v>103</v>
      </c>
      <c r="D12" s="16">
        <v>500.0</v>
      </c>
      <c r="E12" s="13">
        <v>0.75</v>
      </c>
      <c r="F12" s="13" t="s">
        <v>27</v>
      </c>
      <c r="G12" s="13">
        <v>0.55</v>
      </c>
      <c r="H12" s="13">
        <v>0.975</v>
      </c>
      <c r="I12" s="13" t="s">
        <v>104</v>
      </c>
      <c r="J12" s="13" t="s">
        <v>105</v>
      </c>
      <c r="K12" s="13" t="s">
        <v>106</v>
      </c>
      <c r="L12" s="13" t="s">
        <v>31</v>
      </c>
      <c r="M12" s="11" t="s">
        <v>32</v>
      </c>
      <c r="N12" s="13" t="s">
        <v>107</v>
      </c>
      <c r="O12" s="14">
        <v>0.85</v>
      </c>
      <c r="P12" s="13" t="s">
        <v>108</v>
      </c>
      <c r="Q12" s="14">
        <v>0.7</v>
      </c>
      <c r="R12" s="13" t="s">
        <v>109</v>
      </c>
      <c r="S12" s="15" t="s">
        <v>110</v>
      </c>
      <c r="T12" s="13" t="s">
        <v>37</v>
      </c>
      <c r="U12" s="11" t="s">
        <v>111</v>
      </c>
      <c r="V12" s="13">
        <v>1.8</v>
      </c>
      <c r="W12" s="13" t="s">
        <v>91</v>
      </c>
      <c r="X12" s="3"/>
      <c r="Y12" s="3"/>
      <c r="Z12" s="3"/>
    </row>
    <row r="13">
      <c r="A13" s="11" t="s">
        <v>112</v>
      </c>
      <c r="B13" s="11" t="s">
        <v>113</v>
      </c>
      <c r="C13" s="11" t="s">
        <v>114</v>
      </c>
      <c r="D13" s="16">
        <v>750.0</v>
      </c>
      <c r="E13" s="13">
        <v>0.0485</v>
      </c>
      <c r="F13" s="13" t="s">
        <v>27</v>
      </c>
      <c r="G13" s="13">
        <v>0.03</v>
      </c>
      <c r="H13" s="13">
        <v>0.063</v>
      </c>
      <c r="I13" s="13" t="s">
        <v>115</v>
      </c>
      <c r="J13" s="13" t="s">
        <v>116</v>
      </c>
      <c r="K13" s="13" t="s">
        <v>117</v>
      </c>
      <c r="L13" s="13" t="s">
        <v>31</v>
      </c>
      <c r="M13" s="11" t="s">
        <v>32</v>
      </c>
      <c r="N13" s="13" t="s">
        <v>118</v>
      </c>
      <c r="O13" s="14">
        <v>0.58</v>
      </c>
      <c r="P13" s="13" t="s">
        <v>119</v>
      </c>
      <c r="Q13" s="14">
        <v>0.5</v>
      </c>
      <c r="R13" s="13" t="s">
        <v>120</v>
      </c>
      <c r="S13" s="15" t="s">
        <v>121</v>
      </c>
      <c r="T13" s="13" t="s">
        <v>37</v>
      </c>
      <c r="U13" s="11" t="s">
        <v>122</v>
      </c>
      <c r="V13" s="13">
        <v>0.25</v>
      </c>
      <c r="W13" s="13" t="s">
        <v>91</v>
      </c>
      <c r="X13" s="3"/>
      <c r="Y13" s="3"/>
      <c r="Z13" s="3"/>
    </row>
    <row r="14">
      <c r="A14" s="11" t="s">
        <v>112</v>
      </c>
      <c r="B14" s="11" t="s">
        <v>123</v>
      </c>
      <c r="C14" s="11" t="s">
        <v>124</v>
      </c>
      <c r="D14" s="16">
        <v>750.0</v>
      </c>
      <c r="E14" s="13">
        <v>0.1</v>
      </c>
      <c r="F14" s="13" t="s">
        <v>27</v>
      </c>
      <c r="G14" s="13">
        <v>0.05</v>
      </c>
      <c r="H14" s="13">
        <v>0.13</v>
      </c>
      <c r="I14" s="13" t="s">
        <v>125</v>
      </c>
      <c r="J14" s="13" t="s">
        <v>126</v>
      </c>
      <c r="K14" s="13" t="s">
        <v>127</v>
      </c>
      <c r="L14" s="13" t="s">
        <v>31</v>
      </c>
      <c r="M14" s="11" t="s">
        <v>32</v>
      </c>
      <c r="N14" s="13" t="s">
        <v>128</v>
      </c>
      <c r="O14" s="14">
        <v>0.35</v>
      </c>
      <c r="P14" s="13" t="s">
        <v>129</v>
      </c>
      <c r="Q14" s="14">
        <v>0.7</v>
      </c>
      <c r="R14" s="13" t="s">
        <v>130</v>
      </c>
      <c r="S14" s="15" t="s">
        <v>131</v>
      </c>
      <c r="T14" s="13" t="s">
        <v>37</v>
      </c>
      <c r="U14" s="11" t="s">
        <v>122</v>
      </c>
      <c r="V14" s="13">
        <v>1.0</v>
      </c>
      <c r="W14" s="13" t="s">
        <v>91</v>
      </c>
      <c r="X14" s="3"/>
      <c r="Y14" s="3"/>
      <c r="Z14" s="3"/>
    </row>
    <row r="15">
      <c r="A15" s="17"/>
      <c r="B15" s="18" t="s">
        <v>132</v>
      </c>
      <c r="C15" s="18" t="s">
        <v>133</v>
      </c>
      <c r="D15" s="19">
        <v>1000.0</v>
      </c>
      <c r="E15" s="20" t="s">
        <v>134</v>
      </c>
      <c r="F15" s="21"/>
      <c r="G15" s="20" t="s">
        <v>135</v>
      </c>
      <c r="H15" s="20" t="s">
        <v>136</v>
      </c>
      <c r="I15" s="21"/>
      <c r="J15" s="21"/>
      <c r="K15" s="21"/>
      <c r="L15" s="21"/>
      <c r="M15" s="21"/>
      <c r="N15" s="20" t="s">
        <v>137</v>
      </c>
      <c r="O15" s="21"/>
      <c r="P15" s="21"/>
      <c r="Q15" s="21"/>
      <c r="R15" s="21"/>
      <c r="S15" s="21"/>
      <c r="T15" s="20" t="s">
        <v>138</v>
      </c>
      <c r="U15" s="18" t="s">
        <v>139</v>
      </c>
      <c r="V15" s="21"/>
      <c r="W15" s="21"/>
      <c r="X15" s="22"/>
      <c r="Y15" s="22"/>
      <c r="Z15" s="22"/>
    </row>
    <row r="16">
      <c r="A16" s="21"/>
      <c r="B16" s="18" t="s">
        <v>140</v>
      </c>
      <c r="C16" s="18" t="s">
        <v>141</v>
      </c>
      <c r="D16" s="19">
        <v>500.0</v>
      </c>
      <c r="E16" s="20" t="s">
        <v>142</v>
      </c>
      <c r="F16" s="21"/>
      <c r="G16" s="20" t="s">
        <v>143</v>
      </c>
      <c r="H16" s="20" t="s">
        <v>144</v>
      </c>
      <c r="I16" s="21"/>
      <c r="J16" s="21"/>
      <c r="K16" s="21"/>
      <c r="L16" s="21"/>
      <c r="M16" s="21"/>
      <c r="N16" s="20" t="s">
        <v>145</v>
      </c>
      <c r="O16" s="21"/>
      <c r="P16" s="21"/>
      <c r="Q16" s="21"/>
      <c r="R16" s="21"/>
      <c r="S16" s="21"/>
      <c r="T16" s="20" t="s">
        <v>146</v>
      </c>
      <c r="U16" s="18" t="s">
        <v>139</v>
      </c>
      <c r="V16" s="21"/>
      <c r="W16" s="21"/>
      <c r="X16" s="22"/>
      <c r="Y16" s="22"/>
      <c r="Z16" s="22"/>
    </row>
    <row r="17">
      <c r="A17" s="21"/>
      <c r="B17" s="18" t="s">
        <v>147</v>
      </c>
      <c r="C17" s="18" t="s">
        <v>148</v>
      </c>
      <c r="D17" s="19">
        <v>500.0</v>
      </c>
      <c r="E17" s="20" t="s">
        <v>149</v>
      </c>
      <c r="F17" s="21"/>
      <c r="G17" s="20" t="s">
        <v>150</v>
      </c>
      <c r="H17" s="20" t="s">
        <v>151</v>
      </c>
      <c r="I17" s="21"/>
      <c r="J17" s="21"/>
      <c r="K17" s="21"/>
      <c r="L17" s="21"/>
      <c r="M17" s="21"/>
      <c r="N17" s="20" t="s">
        <v>152</v>
      </c>
      <c r="O17" s="21"/>
      <c r="P17" s="21"/>
      <c r="Q17" s="21"/>
      <c r="R17" s="21"/>
      <c r="S17" s="21"/>
      <c r="T17" s="20" t="s">
        <v>153</v>
      </c>
      <c r="U17" s="18" t="s">
        <v>139</v>
      </c>
      <c r="V17" s="21"/>
      <c r="W17" s="21"/>
      <c r="X17" s="22"/>
      <c r="Y17" s="22"/>
      <c r="Z17" s="22"/>
    </row>
    <row r="18">
      <c r="A18" s="21"/>
      <c r="B18" s="18" t="s">
        <v>154</v>
      </c>
      <c r="C18" s="18" t="s">
        <v>155</v>
      </c>
      <c r="D18" s="19">
        <v>500.0</v>
      </c>
      <c r="E18" s="20" t="s">
        <v>156</v>
      </c>
      <c r="F18" s="21"/>
      <c r="G18" s="20" t="s">
        <v>157</v>
      </c>
      <c r="H18" s="20" t="s">
        <v>158</v>
      </c>
      <c r="I18" s="21"/>
      <c r="J18" s="21"/>
      <c r="K18" s="21"/>
      <c r="L18" s="21"/>
      <c r="M18" s="21"/>
      <c r="N18" s="20" t="s">
        <v>159</v>
      </c>
      <c r="O18" s="21"/>
      <c r="P18" s="21"/>
      <c r="Q18" s="21"/>
      <c r="R18" s="21"/>
      <c r="S18" s="21"/>
      <c r="T18" s="20" t="s">
        <v>160</v>
      </c>
      <c r="U18" s="18" t="s">
        <v>139</v>
      </c>
      <c r="V18" s="21"/>
      <c r="W18" s="21"/>
      <c r="X18" s="22"/>
      <c r="Y18" s="22"/>
      <c r="Z18" s="22"/>
    </row>
    <row r="19" ht="15.75" customHeight="1">
      <c r="A19" s="23" t="s">
        <v>161</v>
      </c>
      <c r="B19" s="24" t="s">
        <v>162</v>
      </c>
      <c r="C19" s="23" t="s">
        <v>163</v>
      </c>
      <c r="D19" s="25">
        <v>1000.0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6" t="s">
        <v>164</v>
      </c>
      <c r="S19" s="23"/>
      <c r="T19" s="23"/>
      <c r="U19" s="23"/>
      <c r="V19" s="23"/>
      <c r="W19" s="23"/>
      <c r="X19" s="3"/>
      <c r="Y19" s="3"/>
      <c r="Z19" s="3"/>
    </row>
    <row r="20" ht="19.5" customHeight="1">
      <c r="A20" s="27" t="s">
        <v>165</v>
      </c>
    </row>
    <row r="21" ht="15.75" customHeight="1">
      <c r="A21" s="28" t="s">
        <v>166</v>
      </c>
    </row>
    <row r="22" ht="15.75" customHeight="1">
      <c r="A22" s="28" t="s">
        <v>167</v>
      </c>
    </row>
    <row r="23" ht="15.75" customHeight="1">
      <c r="A23" s="28" t="s">
        <v>168</v>
      </c>
    </row>
    <row r="24" ht="15.75" customHeight="1">
      <c r="A24" s="28" t="s">
        <v>169</v>
      </c>
    </row>
    <row r="25" ht="15.75" customHeight="1">
      <c r="A25" s="28" t="s">
        <v>170</v>
      </c>
    </row>
    <row r="26" ht="15.75" customHeight="1"/>
    <row r="27" ht="15.75" customHeight="1"/>
    <row r="28" ht="15.75" customHeight="1"/>
    <row r="29" ht="15.75" customHeight="1"/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mergeCells count="8">
    <mergeCell ref="A21:Z21"/>
    <mergeCell ref="A20:Z20"/>
    <mergeCell ref="A1:Z1"/>
    <mergeCell ref="A2:Z2"/>
    <mergeCell ref="A22:Z22"/>
    <mergeCell ref="A23:Z23"/>
    <mergeCell ref="A24:Z24"/>
    <mergeCell ref="A25:Z2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E2E2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7.0"/>
    <col customWidth="1" min="3" max="3" width="14.0"/>
    <col customWidth="1" min="4" max="6" width="9.0"/>
    <col customWidth="1" min="7" max="9" width="10.0"/>
    <col customWidth="1" min="10" max="10" width="8.0"/>
    <col customWidth="1" min="11" max="11" width="22.0"/>
    <col customWidth="1" min="12" max="12" width="30.0"/>
    <col customWidth="1" min="13" max="13" width="10.0"/>
    <col customWidth="1" min="14" max="26" width="8.71"/>
  </cols>
  <sheetData>
    <row r="1">
      <c r="A1" s="1" t="s">
        <v>171</v>
      </c>
    </row>
    <row r="2">
      <c r="A2" s="2" t="s">
        <v>172</v>
      </c>
    </row>
    <row r="3">
      <c r="A3" s="29" t="s">
        <v>173</v>
      </c>
    </row>
    <row r="5">
      <c r="A5" s="4" t="s">
        <v>2</v>
      </c>
      <c r="B5" s="4" t="s">
        <v>3</v>
      </c>
      <c r="C5" s="4" t="s">
        <v>4</v>
      </c>
      <c r="D5" s="4" t="s">
        <v>174</v>
      </c>
      <c r="E5" s="4" t="s">
        <v>175</v>
      </c>
      <c r="F5" s="4" t="s">
        <v>176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</row>
    <row r="6">
      <c r="A6" s="5" t="s">
        <v>24</v>
      </c>
      <c r="B6" s="5" t="s">
        <v>25</v>
      </c>
      <c r="C6" s="7" t="s">
        <v>26</v>
      </c>
      <c r="D6" s="10">
        <v>1500.0</v>
      </c>
      <c r="E6" s="7">
        <v>0.72</v>
      </c>
      <c r="F6" s="30">
        <v>0.58</v>
      </c>
      <c r="G6" s="31">
        <f t="shared" ref="G6:G15" si="1">D6/E6</f>
        <v>2083.333333</v>
      </c>
      <c r="H6" s="32">
        <f t="shared" ref="H6:H15" si="2">G6*F6</f>
        <v>1208.333333</v>
      </c>
      <c r="I6" s="33">
        <f t="shared" ref="I6:I15" si="3">H6-D6</f>
        <v>-291.6666667</v>
      </c>
      <c r="J6" s="34">
        <f t="shared" ref="J6:J15" si="4">I6/D6</f>
        <v>-0.1944444444</v>
      </c>
      <c r="K6" s="35" t="s">
        <v>28</v>
      </c>
      <c r="L6" s="35" t="s">
        <v>184</v>
      </c>
      <c r="M6" s="7" t="s">
        <v>185</v>
      </c>
    </row>
    <row r="7">
      <c r="A7" s="5" t="s">
        <v>24</v>
      </c>
      <c r="B7" s="5" t="s">
        <v>40</v>
      </c>
      <c r="C7" s="7" t="s">
        <v>41</v>
      </c>
      <c r="D7" s="10">
        <v>1500.0</v>
      </c>
      <c r="E7" s="7">
        <v>4.1</v>
      </c>
      <c r="F7" s="30">
        <v>2.8</v>
      </c>
      <c r="G7" s="31">
        <f t="shared" si="1"/>
        <v>365.8536585</v>
      </c>
      <c r="H7" s="32">
        <f t="shared" si="2"/>
        <v>1024.390244</v>
      </c>
      <c r="I7" s="33">
        <f t="shared" si="3"/>
        <v>-475.6097561</v>
      </c>
      <c r="J7" s="34">
        <f t="shared" si="4"/>
        <v>-0.3170731707</v>
      </c>
      <c r="K7" s="35" t="s">
        <v>43</v>
      </c>
      <c r="L7" s="35" t="s">
        <v>186</v>
      </c>
      <c r="M7" s="7" t="s">
        <v>185</v>
      </c>
    </row>
    <row r="8">
      <c r="A8" s="5" t="s">
        <v>24</v>
      </c>
      <c r="B8" s="5" t="s">
        <v>51</v>
      </c>
      <c r="C8" s="7" t="s">
        <v>52</v>
      </c>
      <c r="D8" s="10">
        <v>1000.0</v>
      </c>
      <c r="E8" s="7">
        <v>2.04</v>
      </c>
      <c r="F8" s="30">
        <v>1.65</v>
      </c>
      <c r="G8" s="31">
        <f t="shared" si="1"/>
        <v>490.1960784</v>
      </c>
      <c r="H8" s="32">
        <f t="shared" si="2"/>
        <v>808.8235294</v>
      </c>
      <c r="I8" s="33">
        <f t="shared" si="3"/>
        <v>-191.1764706</v>
      </c>
      <c r="J8" s="34">
        <f t="shared" si="4"/>
        <v>-0.1911764706</v>
      </c>
      <c r="K8" s="35" t="s">
        <v>53</v>
      </c>
      <c r="L8" s="35" t="s">
        <v>187</v>
      </c>
      <c r="M8" s="7" t="s">
        <v>188</v>
      </c>
    </row>
    <row r="9">
      <c r="A9" s="5" t="s">
        <v>24</v>
      </c>
      <c r="B9" s="5" t="s">
        <v>63</v>
      </c>
      <c r="C9" s="7" t="s">
        <v>64</v>
      </c>
      <c r="D9" s="10">
        <v>1000.0</v>
      </c>
      <c r="E9" s="7">
        <v>2.4</v>
      </c>
      <c r="F9" s="30">
        <v>1.6</v>
      </c>
      <c r="G9" s="31">
        <f t="shared" si="1"/>
        <v>416.6666667</v>
      </c>
      <c r="H9" s="32">
        <f t="shared" si="2"/>
        <v>666.6666667</v>
      </c>
      <c r="I9" s="33">
        <f t="shared" si="3"/>
        <v>-333.3333333</v>
      </c>
      <c r="J9" s="34">
        <f t="shared" si="4"/>
        <v>-0.3333333333</v>
      </c>
      <c r="K9" s="35" t="s">
        <v>65</v>
      </c>
      <c r="L9" s="35" t="s">
        <v>189</v>
      </c>
      <c r="M9" s="7" t="s">
        <v>185</v>
      </c>
    </row>
    <row r="10">
      <c r="A10" s="5" t="s">
        <v>24</v>
      </c>
      <c r="B10" s="5" t="s">
        <v>72</v>
      </c>
      <c r="C10" s="7" t="s">
        <v>73</v>
      </c>
      <c r="D10" s="10">
        <v>500.0</v>
      </c>
      <c r="E10" s="7">
        <v>33.78</v>
      </c>
      <c r="F10" s="30">
        <v>25.0</v>
      </c>
      <c r="G10" s="31">
        <f t="shared" si="1"/>
        <v>14.80165779</v>
      </c>
      <c r="H10" s="32">
        <f t="shared" si="2"/>
        <v>370.0414446</v>
      </c>
      <c r="I10" s="33">
        <f t="shared" si="3"/>
        <v>-129.9585554</v>
      </c>
      <c r="J10" s="34">
        <f t="shared" si="4"/>
        <v>-0.2599171107</v>
      </c>
      <c r="K10" s="35" t="s">
        <v>74</v>
      </c>
      <c r="L10" s="35" t="s">
        <v>190</v>
      </c>
      <c r="M10" s="7" t="s">
        <v>191</v>
      </c>
    </row>
    <row r="11">
      <c r="A11" s="11" t="s">
        <v>80</v>
      </c>
      <c r="B11" s="11" t="s">
        <v>81</v>
      </c>
      <c r="C11" s="13" t="s">
        <v>82</v>
      </c>
      <c r="D11" s="16">
        <v>1000.0</v>
      </c>
      <c r="E11" s="13">
        <v>0.28</v>
      </c>
      <c r="F11" s="30">
        <v>0.2</v>
      </c>
      <c r="G11" s="31">
        <f t="shared" si="1"/>
        <v>3571.428571</v>
      </c>
      <c r="H11" s="32">
        <f t="shared" si="2"/>
        <v>714.2857143</v>
      </c>
      <c r="I11" s="33">
        <f t="shared" si="3"/>
        <v>-285.7142857</v>
      </c>
      <c r="J11" s="34">
        <f t="shared" si="4"/>
        <v>-0.2857142857</v>
      </c>
      <c r="K11" s="36" t="s">
        <v>83</v>
      </c>
      <c r="L11" s="36" t="s">
        <v>192</v>
      </c>
      <c r="M11" s="13" t="s">
        <v>185</v>
      </c>
    </row>
    <row r="12">
      <c r="A12" s="11" t="s">
        <v>80</v>
      </c>
      <c r="B12" s="11" t="s">
        <v>92</v>
      </c>
      <c r="C12" s="13" t="s">
        <v>93</v>
      </c>
      <c r="D12" s="16">
        <v>500.0</v>
      </c>
      <c r="E12" s="13">
        <v>0.13</v>
      </c>
      <c r="F12" s="30">
        <v>0.09</v>
      </c>
      <c r="G12" s="31">
        <f t="shared" si="1"/>
        <v>3846.153846</v>
      </c>
      <c r="H12" s="32">
        <f t="shared" si="2"/>
        <v>346.1538462</v>
      </c>
      <c r="I12" s="33">
        <f t="shared" si="3"/>
        <v>-153.8461538</v>
      </c>
      <c r="J12" s="34">
        <f t="shared" si="4"/>
        <v>-0.3076923077</v>
      </c>
      <c r="K12" s="36" t="s">
        <v>94</v>
      </c>
      <c r="L12" s="36" t="s">
        <v>193</v>
      </c>
      <c r="M12" s="13" t="s">
        <v>194</v>
      </c>
    </row>
    <row r="13">
      <c r="A13" s="11" t="s">
        <v>80</v>
      </c>
      <c r="B13" s="11" t="s">
        <v>102</v>
      </c>
      <c r="C13" s="13" t="s">
        <v>103</v>
      </c>
      <c r="D13" s="16">
        <v>500.0</v>
      </c>
      <c r="E13" s="13">
        <v>0.75</v>
      </c>
      <c r="F13" s="30">
        <v>0.55</v>
      </c>
      <c r="G13" s="31">
        <f t="shared" si="1"/>
        <v>666.6666667</v>
      </c>
      <c r="H13" s="32">
        <f t="shared" si="2"/>
        <v>366.6666667</v>
      </c>
      <c r="I13" s="33">
        <f t="shared" si="3"/>
        <v>-133.3333333</v>
      </c>
      <c r="J13" s="34">
        <f t="shared" si="4"/>
        <v>-0.2666666667</v>
      </c>
      <c r="K13" s="36" t="s">
        <v>104</v>
      </c>
      <c r="L13" s="36" t="s">
        <v>195</v>
      </c>
      <c r="M13" s="13" t="s">
        <v>185</v>
      </c>
    </row>
    <row r="14">
      <c r="A14" s="37" t="s">
        <v>112</v>
      </c>
      <c r="B14" s="37" t="s">
        <v>113</v>
      </c>
      <c r="C14" s="38" t="s">
        <v>114</v>
      </c>
      <c r="D14" s="39">
        <v>750.0</v>
      </c>
      <c r="E14" s="38">
        <v>0.0485</v>
      </c>
      <c r="F14" s="30">
        <v>0.03</v>
      </c>
      <c r="G14" s="31">
        <f t="shared" si="1"/>
        <v>15463.91753</v>
      </c>
      <c r="H14" s="32">
        <f t="shared" si="2"/>
        <v>463.9175258</v>
      </c>
      <c r="I14" s="33">
        <f t="shared" si="3"/>
        <v>-286.0824742</v>
      </c>
      <c r="J14" s="34">
        <f t="shared" si="4"/>
        <v>-0.381443299</v>
      </c>
      <c r="K14" s="40" t="s">
        <v>115</v>
      </c>
      <c r="L14" s="40" t="s">
        <v>196</v>
      </c>
      <c r="M14" s="38" t="s">
        <v>185</v>
      </c>
    </row>
    <row r="15">
      <c r="A15" s="37" t="s">
        <v>112</v>
      </c>
      <c r="B15" s="37" t="s">
        <v>123</v>
      </c>
      <c r="C15" s="38" t="s">
        <v>124</v>
      </c>
      <c r="D15" s="39">
        <v>750.0</v>
      </c>
      <c r="E15" s="38">
        <v>0.1</v>
      </c>
      <c r="F15" s="30">
        <v>0.05</v>
      </c>
      <c r="G15" s="31">
        <f t="shared" si="1"/>
        <v>7500</v>
      </c>
      <c r="H15" s="32">
        <f t="shared" si="2"/>
        <v>375</v>
      </c>
      <c r="I15" s="33">
        <f t="shared" si="3"/>
        <v>-375</v>
      </c>
      <c r="J15" s="34">
        <f t="shared" si="4"/>
        <v>-0.5</v>
      </c>
      <c r="K15" s="40" t="s">
        <v>125</v>
      </c>
      <c r="L15" s="40" t="s">
        <v>197</v>
      </c>
      <c r="M15" s="38" t="s">
        <v>185</v>
      </c>
    </row>
    <row r="16">
      <c r="A16" s="23" t="s">
        <v>161</v>
      </c>
      <c r="B16" s="24" t="s">
        <v>162</v>
      </c>
      <c r="C16" s="23" t="s">
        <v>198</v>
      </c>
      <c r="D16" s="41">
        <v>1000.0</v>
      </c>
      <c r="E16" s="23"/>
      <c r="F16" s="23"/>
      <c r="G16" s="23"/>
      <c r="H16" s="42">
        <v>1000.0</v>
      </c>
      <c r="I16" s="43">
        <v>0.0</v>
      </c>
      <c r="J16" s="23"/>
      <c r="K16" s="23"/>
      <c r="L16" s="23"/>
      <c r="M16" s="23"/>
    </row>
    <row r="17">
      <c r="B17" s="44" t="s">
        <v>199</v>
      </c>
      <c r="D17" s="45">
        <f>SUM(D6:D16)</f>
        <v>10000</v>
      </c>
      <c r="H17" s="46">
        <f>SUM(H6:H16)</f>
        <v>7344.278971</v>
      </c>
      <c r="I17" s="47">
        <f>H17-D17</f>
        <v>-2655.721029</v>
      </c>
      <c r="J17" s="48">
        <f>I17/D17</f>
        <v>-0.2655721029</v>
      </c>
    </row>
    <row r="19">
      <c r="A19" s="29" t="s">
        <v>200</v>
      </c>
    </row>
    <row r="20">
      <c r="A20" s="49" t="s">
        <v>201</v>
      </c>
      <c r="C20" s="50">
        <f>D17</f>
        <v>10000</v>
      </c>
    </row>
    <row r="21" ht="15.75" customHeight="1">
      <c r="A21" s="49" t="s">
        <v>202</v>
      </c>
      <c r="C21" s="51">
        <f>H17</f>
        <v>7344.278971</v>
      </c>
    </row>
    <row r="22" ht="15.75" customHeight="1">
      <c r="A22" s="49" t="s">
        <v>203</v>
      </c>
      <c r="C22" s="51">
        <f>I17</f>
        <v>-2655.721029</v>
      </c>
    </row>
    <row r="23" ht="15.75" customHeight="1">
      <c r="A23" s="49" t="s">
        <v>204</v>
      </c>
      <c r="C23" s="52">
        <f>J17</f>
        <v>-0.2655721029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3:M3"/>
    <mergeCell ref="A19:M19"/>
    <mergeCell ref="A20:B20"/>
    <mergeCell ref="A21:B21"/>
    <mergeCell ref="A22:B22"/>
    <mergeCell ref="A23:B2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BEAFE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7.0"/>
    <col customWidth="1" min="3" max="3" width="14.0"/>
    <col customWidth="1" min="4" max="6" width="9.0"/>
    <col customWidth="1" min="7" max="9" width="10.0"/>
    <col customWidth="1" min="10" max="10" width="8.0"/>
    <col customWidth="1" min="11" max="11" width="22.0"/>
    <col customWidth="1" min="12" max="12" width="30.0"/>
    <col customWidth="1" min="13" max="13" width="10.0"/>
    <col customWidth="1" min="14" max="26" width="8.71"/>
  </cols>
  <sheetData>
    <row r="1">
      <c r="A1" s="1" t="s">
        <v>205</v>
      </c>
    </row>
    <row r="2">
      <c r="A2" s="2" t="s">
        <v>206</v>
      </c>
    </row>
    <row r="3">
      <c r="A3" s="29" t="s">
        <v>207</v>
      </c>
    </row>
    <row r="5">
      <c r="A5" s="4" t="s">
        <v>2</v>
      </c>
      <c r="B5" s="4" t="s">
        <v>3</v>
      </c>
      <c r="C5" s="4" t="s">
        <v>4</v>
      </c>
      <c r="D5" s="4" t="s">
        <v>174</v>
      </c>
      <c r="E5" s="4" t="s">
        <v>175</v>
      </c>
      <c r="F5" s="4" t="s">
        <v>176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</row>
    <row r="6">
      <c r="A6" s="5" t="s">
        <v>24</v>
      </c>
      <c r="B6" s="5" t="s">
        <v>25</v>
      </c>
      <c r="C6" s="7" t="s">
        <v>26</v>
      </c>
      <c r="D6" s="10">
        <v>1500.0</v>
      </c>
      <c r="E6" s="7">
        <v>0.72</v>
      </c>
      <c r="F6" s="53">
        <v>0.85</v>
      </c>
      <c r="G6" s="31">
        <f t="shared" ref="G6:G15" si="1">D6/E6</f>
        <v>2083.333333</v>
      </c>
      <c r="H6" s="32">
        <f t="shared" ref="H6:H15" si="2">G6*F6</f>
        <v>1770.833333</v>
      </c>
      <c r="I6" s="33">
        <f t="shared" ref="I6:I15" si="3">H6-D6</f>
        <v>270.8333333</v>
      </c>
      <c r="J6" s="34">
        <f t="shared" ref="J6:J15" si="4">I6/D6</f>
        <v>0.1805555556</v>
      </c>
      <c r="K6" s="35" t="s">
        <v>28</v>
      </c>
      <c r="L6" s="35" t="s">
        <v>208</v>
      </c>
      <c r="M6" s="7" t="s">
        <v>185</v>
      </c>
    </row>
    <row r="7">
      <c r="A7" s="5" t="s">
        <v>24</v>
      </c>
      <c r="B7" s="5" t="s">
        <v>40</v>
      </c>
      <c r="C7" s="7" t="s">
        <v>41</v>
      </c>
      <c r="D7" s="10">
        <v>1500.0</v>
      </c>
      <c r="E7" s="7">
        <v>4.1</v>
      </c>
      <c r="F7" s="53">
        <v>8.0</v>
      </c>
      <c r="G7" s="31">
        <f t="shared" si="1"/>
        <v>365.8536585</v>
      </c>
      <c r="H7" s="32">
        <f t="shared" si="2"/>
        <v>2926.829268</v>
      </c>
      <c r="I7" s="33">
        <f t="shared" si="3"/>
        <v>1426.829268</v>
      </c>
      <c r="J7" s="34">
        <f t="shared" si="4"/>
        <v>0.9512195122</v>
      </c>
      <c r="K7" s="35" t="s">
        <v>43</v>
      </c>
      <c r="L7" s="35" t="s">
        <v>209</v>
      </c>
      <c r="M7" s="7" t="s">
        <v>185</v>
      </c>
    </row>
    <row r="8">
      <c r="A8" s="5" t="s">
        <v>24</v>
      </c>
      <c r="B8" s="5" t="s">
        <v>51</v>
      </c>
      <c r="C8" s="7" t="s">
        <v>52</v>
      </c>
      <c r="D8" s="10">
        <v>1000.0</v>
      </c>
      <c r="E8" s="7">
        <v>2.04</v>
      </c>
      <c r="F8" s="53">
        <v>2.8</v>
      </c>
      <c r="G8" s="31">
        <f t="shared" si="1"/>
        <v>490.1960784</v>
      </c>
      <c r="H8" s="32">
        <f t="shared" si="2"/>
        <v>1372.54902</v>
      </c>
      <c r="I8" s="33">
        <f t="shared" si="3"/>
        <v>372.5490196</v>
      </c>
      <c r="J8" s="34">
        <f t="shared" si="4"/>
        <v>0.3725490196</v>
      </c>
      <c r="K8" s="35" t="s">
        <v>53</v>
      </c>
      <c r="L8" s="35" t="s">
        <v>210</v>
      </c>
      <c r="M8" s="7" t="s">
        <v>188</v>
      </c>
    </row>
    <row r="9">
      <c r="A9" s="5" t="s">
        <v>24</v>
      </c>
      <c r="B9" s="5" t="s">
        <v>63</v>
      </c>
      <c r="C9" s="7" t="s">
        <v>64</v>
      </c>
      <c r="D9" s="10">
        <v>1000.0</v>
      </c>
      <c r="E9" s="7">
        <v>2.4</v>
      </c>
      <c r="F9" s="53">
        <v>4.5</v>
      </c>
      <c r="G9" s="31">
        <f t="shared" si="1"/>
        <v>416.6666667</v>
      </c>
      <c r="H9" s="32">
        <f t="shared" si="2"/>
        <v>1875</v>
      </c>
      <c r="I9" s="33">
        <f t="shared" si="3"/>
        <v>875</v>
      </c>
      <c r="J9" s="34">
        <f t="shared" si="4"/>
        <v>0.875</v>
      </c>
      <c r="K9" s="35" t="s">
        <v>65</v>
      </c>
      <c r="L9" s="35" t="s">
        <v>211</v>
      </c>
      <c r="M9" s="7" t="s">
        <v>185</v>
      </c>
    </row>
    <row r="10">
      <c r="A10" s="5" t="s">
        <v>24</v>
      </c>
      <c r="B10" s="5" t="s">
        <v>72</v>
      </c>
      <c r="C10" s="7" t="s">
        <v>73</v>
      </c>
      <c r="D10" s="10">
        <v>500.0</v>
      </c>
      <c r="E10" s="7">
        <v>33.78</v>
      </c>
      <c r="F10" s="53">
        <v>40.0</v>
      </c>
      <c r="G10" s="31">
        <f t="shared" si="1"/>
        <v>14.80165779</v>
      </c>
      <c r="H10" s="32">
        <f t="shared" si="2"/>
        <v>592.0663114</v>
      </c>
      <c r="I10" s="33">
        <f t="shared" si="3"/>
        <v>92.06631143</v>
      </c>
      <c r="J10" s="34">
        <f t="shared" si="4"/>
        <v>0.1841326229</v>
      </c>
      <c r="K10" s="35" t="s">
        <v>74</v>
      </c>
      <c r="L10" s="35" t="s">
        <v>212</v>
      </c>
      <c r="M10" s="7" t="s">
        <v>191</v>
      </c>
    </row>
    <row r="11">
      <c r="A11" s="11" t="s">
        <v>80</v>
      </c>
      <c r="B11" s="11" t="s">
        <v>81</v>
      </c>
      <c r="C11" s="13" t="s">
        <v>82</v>
      </c>
      <c r="D11" s="16">
        <v>1000.0</v>
      </c>
      <c r="E11" s="13">
        <v>0.28</v>
      </c>
      <c r="F11" s="53">
        <v>0.4</v>
      </c>
      <c r="G11" s="31">
        <f t="shared" si="1"/>
        <v>3571.428571</v>
      </c>
      <c r="H11" s="32">
        <f t="shared" si="2"/>
        <v>1428.571429</v>
      </c>
      <c r="I11" s="33">
        <f t="shared" si="3"/>
        <v>428.5714286</v>
      </c>
      <c r="J11" s="34">
        <f t="shared" si="4"/>
        <v>0.4285714286</v>
      </c>
      <c r="K11" s="36" t="s">
        <v>83</v>
      </c>
      <c r="L11" s="36" t="s">
        <v>213</v>
      </c>
      <c r="M11" s="13" t="s">
        <v>185</v>
      </c>
    </row>
    <row r="12">
      <c r="A12" s="11" t="s">
        <v>80</v>
      </c>
      <c r="B12" s="11" t="s">
        <v>92</v>
      </c>
      <c r="C12" s="13" t="s">
        <v>93</v>
      </c>
      <c r="D12" s="16">
        <v>500.0</v>
      </c>
      <c r="E12" s="13">
        <v>0.13</v>
      </c>
      <c r="F12" s="53">
        <v>0.18</v>
      </c>
      <c r="G12" s="31">
        <f t="shared" si="1"/>
        <v>3846.153846</v>
      </c>
      <c r="H12" s="32">
        <f t="shared" si="2"/>
        <v>692.3076923</v>
      </c>
      <c r="I12" s="33">
        <f t="shared" si="3"/>
        <v>192.3076923</v>
      </c>
      <c r="J12" s="34">
        <f t="shared" si="4"/>
        <v>0.3846153846</v>
      </c>
      <c r="K12" s="36" t="s">
        <v>94</v>
      </c>
      <c r="L12" s="36" t="s">
        <v>214</v>
      </c>
      <c r="M12" s="13" t="s">
        <v>194</v>
      </c>
    </row>
    <row r="13">
      <c r="A13" s="11" t="s">
        <v>80</v>
      </c>
      <c r="B13" s="11" t="s">
        <v>102</v>
      </c>
      <c r="C13" s="13" t="s">
        <v>103</v>
      </c>
      <c r="D13" s="16">
        <v>500.0</v>
      </c>
      <c r="E13" s="13">
        <v>0.75</v>
      </c>
      <c r="F13" s="53">
        <v>0.95</v>
      </c>
      <c r="G13" s="31">
        <f t="shared" si="1"/>
        <v>666.6666667</v>
      </c>
      <c r="H13" s="32">
        <f t="shared" si="2"/>
        <v>633.3333333</v>
      </c>
      <c r="I13" s="33">
        <f t="shared" si="3"/>
        <v>133.3333333</v>
      </c>
      <c r="J13" s="34">
        <f t="shared" si="4"/>
        <v>0.2666666667</v>
      </c>
      <c r="K13" s="36" t="s">
        <v>104</v>
      </c>
      <c r="L13" s="36" t="s">
        <v>215</v>
      </c>
      <c r="M13" s="13" t="s">
        <v>185</v>
      </c>
    </row>
    <row r="14">
      <c r="A14" s="37" t="s">
        <v>112</v>
      </c>
      <c r="B14" s="37" t="s">
        <v>113</v>
      </c>
      <c r="C14" s="38" t="s">
        <v>114</v>
      </c>
      <c r="D14" s="39">
        <v>750.0</v>
      </c>
      <c r="E14" s="38">
        <v>0.0485</v>
      </c>
      <c r="F14" s="53">
        <v>0.08</v>
      </c>
      <c r="G14" s="31">
        <f t="shared" si="1"/>
        <v>15463.91753</v>
      </c>
      <c r="H14" s="32">
        <f t="shared" si="2"/>
        <v>1237.113402</v>
      </c>
      <c r="I14" s="33">
        <f t="shared" si="3"/>
        <v>487.1134021</v>
      </c>
      <c r="J14" s="34">
        <f t="shared" si="4"/>
        <v>0.6494845361</v>
      </c>
      <c r="K14" s="40" t="s">
        <v>115</v>
      </c>
      <c r="L14" s="40" t="s">
        <v>216</v>
      </c>
      <c r="M14" s="38" t="s">
        <v>185</v>
      </c>
    </row>
    <row r="15">
      <c r="A15" s="37" t="s">
        <v>112</v>
      </c>
      <c r="B15" s="37" t="s">
        <v>123</v>
      </c>
      <c r="C15" s="38" t="s">
        <v>124</v>
      </c>
      <c r="D15" s="39">
        <v>750.0</v>
      </c>
      <c r="E15" s="38">
        <v>0.1</v>
      </c>
      <c r="F15" s="53">
        <v>0.18</v>
      </c>
      <c r="G15" s="31">
        <f t="shared" si="1"/>
        <v>7500</v>
      </c>
      <c r="H15" s="32">
        <f t="shared" si="2"/>
        <v>1350</v>
      </c>
      <c r="I15" s="33">
        <f t="shared" si="3"/>
        <v>600</v>
      </c>
      <c r="J15" s="34">
        <f t="shared" si="4"/>
        <v>0.8</v>
      </c>
      <c r="K15" s="40" t="s">
        <v>125</v>
      </c>
      <c r="L15" s="40" t="s">
        <v>217</v>
      </c>
      <c r="M15" s="38" t="s">
        <v>185</v>
      </c>
    </row>
    <row r="16">
      <c r="A16" s="23" t="s">
        <v>161</v>
      </c>
      <c r="B16" s="24" t="s">
        <v>162</v>
      </c>
      <c r="C16" s="23" t="s">
        <v>198</v>
      </c>
      <c r="D16" s="41">
        <v>1000.0</v>
      </c>
      <c r="E16" s="23"/>
      <c r="F16" s="23"/>
      <c r="G16" s="23"/>
      <c r="H16" s="42">
        <v>1000.0</v>
      </c>
      <c r="I16" s="43">
        <v>0.0</v>
      </c>
      <c r="J16" s="23"/>
      <c r="K16" s="23"/>
      <c r="L16" s="23"/>
      <c r="M16" s="23"/>
    </row>
    <row r="17">
      <c r="B17" s="44" t="s">
        <v>199</v>
      </c>
      <c r="D17" s="45">
        <f>SUM(D6:D16)</f>
        <v>10000</v>
      </c>
      <c r="H17" s="46">
        <f>SUM(H6:H16)</f>
        <v>14878.60379</v>
      </c>
      <c r="I17" s="47">
        <f>H17-D17</f>
        <v>4878.603789</v>
      </c>
      <c r="J17" s="48">
        <f>I17/D17</f>
        <v>0.4878603789</v>
      </c>
    </row>
    <row r="19">
      <c r="A19" s="29" t="s">
        <v>218</v>
      </c>
    </row>
    <row r="20">
      <c r="A20" s="49" t="s">
        <v>201</v>
      </c>
      <c r="C20" s="50">
        <f>D17</f>
        <v>10000</v>
      </c>
    </row>
    <row r="21" ht="15.75" customHeight="1">
      <c r="A21" s="49" t="s">
        <v>202</v>
      </c>
      <c r="C21" s="51">
        <f>H17</f>
        <v>14878.60379</v>
      </c>
    </row>
    <row r="22" ht="15.75" customHeight="1">
      <c r="A22" s="49" t="s">
        <v>203</v>
      </c>
      <c r="C22" s="51">
        <f>I17</f>
        <v>4878.603789</v>
      </c>
    </row>
    <row r="23" ht="15.75" customHeight="1">
      <c r="A23" s="49" t="s">
        <v>204</v>
      </c>
      <c r="C23" s="52">
        <f>J17</f>
        <v>0.4878603789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3:M3"/>
    <mergeCell ref="A19:M19"/>
    <mergeCell ref="A20:B20"/>
    <mergeCell ref="A21:B21"/>
    <mergeCell ref="A22:B22"/>
    <mergeCell ref="A23:B2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CFCE7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7.0"/>
    <col customWidth="1" min="3" max="3" width="14.0"/>
    <col customWidth="1" min="4" max="6" width="9.0"/>
    <col customWidth="1" min="7" max="9" width="10.0"/>
    <col customWidth="1" min="10" max="10" width="8.0"/>
    <col customWidth="1" min="11" max="11" width="22.0"/>
    <col customWidth="1" min="12" max="12" width="30.0"/>
    <col customWidth="1" min="13" max="13" width="10.0"/>
    <col customWidth="1" min="14" max="26" width="8.71"/>
  </cols>
  <sheetData>
    <row r="1">
      <c r="A1" s="1" t="s">
        <v>219</v>
      </c>
    </row>
    <row r="2">
      <c r="A2" s="2" t="s">
        <v>220</v>
      </c>
    </row>
    <row r="3">
      <c r="A3" s="29" t="s">
        <v>221</v>
      </c>
    </row>
    <row r="5">
      <c r="A5" s="4" t="s">
        <v>2</v>
      </c>
      <c r="B5" s="4" t="s">
        <v>3</v>
      </c>
      <c r="C5" s="4" t="s">
        <v>4</v>
      </c>
      <c r="D5" s="4" t="s">
        <v>174</v>
      </c>
      <c r="E5" s="4" t="s">
        <v>175</v>
      </c>
      <c r="F5" s="4" t="s">
        <v>176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</row>
    <row r="6">
      <c r="A6" s="5" t="s">
        <v>24</v>
      </c>
      <c r="B6" s="5" t="s">
        <v>25</v>
      </c>
      <c r="C6" s="7" t="s">
        <v>26</v>
      </c>
      <c r="D6" s="10">
        <v>1500.0</v>
      </c>
      <c r="E6" s="7">
        <v>0.72</v>
      </c>
      <c r="F6" s="5">
        <v>1.0</v>
      </c>
      <c r="G6" s="31">
        <f t="shared" ref="G6:G15" si="1">D6/E6</f>
        <v>2083.333333</v>
      </c>
      <c r="H6" s="32">
        <f t="shared" ref="H6:H15" si="2">G6*F6</f>
        <v>2083.333333</v>
      </c>
      <c r="I6" s="33">
        <f t="shared" ref="I6:I15" si="3">H6-D6</f>
        <v>583.3333333</v>
      </c>
      <c r="J6" s="34">
        <f t="shared" ref="J6:J15" si="4">I6/D6</f>
        <v>0.3888888889</v>
      </c>
      <c r="K6" s="35" t="s">
        <v>28</v>
      </c>
      <c r="L6" s="35" t="s">
        <v>222</v>
      </c>
      <c r="M6" s="7" t="s">
        <v>185</v>
      </c>
    </row>
    <row r="7">
      <c r="A7" s="5" t="s">
        <v>24</v>
      </c>
      <c r="B7" s="5" t="s">
        <v>40</v>
      </c>
      <c r="C7" s="7" t="s">
        <v>41</v>
      </c>
      <c r="D7" s="10">
        <v>1500.0</v>
      </c>
      <c r="E7" s="7">
        <v>4.1</v>
      </c>
      <c r="F7" s="5">
        <v>8.0</v>
      </c>
      <c r="G7" s="31">
        <f t="shared" si="1"/>
        <v>365.8536585</v>
      </c>
      <c r="H7" s="32">
        <f t="shared" si="2"/>
        <v>2926.829268</v>
      </c>
      <c r="I7" s="33">
        <f t="shared" si="3"/>
        <v>1426.829268</v>
      </c>
      <c r="J7" s="34">
        <f t="shared" si="4"/>
        <v>0.9512195122</v>
      </c>
      <c r="K7" s="35" t="s">
        <v>43</v>
      </c>
      <c r="L7" s="35" t="s">
        <v>223</v>
      </c>
      <c r="M7" s="7" t="s">
        <v>185</v>
      </c>
    </row>
    <row r="8">
      <c r="A8" s="5" t="s">
        <v>24</v>
      </c>
      <c r="B8" s="5" t="s">
        <v>51</v>
      </c>
      <c r="C8" s="7" t="s">
        <v>52</v>
      </c>
      <c r="D8" s="10">
        <v>1000.0</v>
      </c>
      <c r="E8" s="7">
        <v>2.04</v>
      </c>
      <c r="F8" s="5">
        <v>3.0</v>
      </c>
      <c r="G8" s="31">
        <f t="shared" si="1"/>
        <v>490.1960784</v>
      </c>
      <c r="H8" s="32">
        <f t="shared" si="2"/>
        <v>1470.588235</v>
      </c>
      <c r="I8" s="33">
        <f t="shared" si="3"/>
        <v>470.5882353</v>
      </c>
      <c r="J8" s="34">
        <f t="shared" si="4"/>
        <v>0.4705882353</v>
      </c>
      <c r="K8" s="35" t="s">
        <v>53</v>
      </c>
      <c r="L8" s="35" t="s">
        <v>224</v>
      </c>
      <c r="M8" s="7" t="s">
        <v>188</v>
      </c>
    </row>
    <row r="9">
      <c r="A9" s="5" t="s">
        <v>24</v>
      </c>
      <c r="B9" s="5" t="s">
        <v>63</v>
      </c>
      <c r="C9" s="7" t="s">
        <v>64</v>
      </c>
      <c r="D9" s="10">
        <v>1000.0</v>
      </c>
      <c r="E9" s="7">
        <v>2.4</v>
      </c>
      <c r="F9" s="5">
        <v>5.0</v>
      </c>
      <c r="G9" s="31">
        <f t="shared" si="1"/>
        <v>416.6666667</v>
      </c>
      <c r="H9" s="32">
        <f t="shared" si="2"/>
        <v>2083.333333</v>
      </c>
      <c r="I9" s="33">
        <f t="shared" si="3"/>
        <v>1083.333333</v>
      </c>
      <c r="J9" s="34">
        <f t="shared" si="4"/>
        <v>1.083333333</v>
      </c>
      <c r="K9" s="35" t="s">
        <v>65</v>
      </c>
      <c r="L9" s="35" t="s">
        <v>225</v>
      </c>
      <c r="M9" s="7" t="s">
        <v>185</v>
      </c>
    </row>
    <row r="10">
      <c r="A10" s="5" t="s">
        <v>24</v>
      </c>
      <c r="B10" s="5" t="s">
        <v>72</v>
      </c>
      <c r="C10" s="7" t="s">
        <v>73</v>
      </c>
      <c r="D10" s="10">
        <v>500.0</v>
      </c>
      <c r="E10" s="7">
        <v>33.78</v>
      </c>
      <c r="F10" s="5">
        <v>42.0</v>
      </c>
      <c r="G10" s="31">
        <f t="shared" si="1"/>
        <v>14.80165779</v>
      </c>
      <c r="H10" s="32">
        <f t="shared" si="2"/>
        <v>621.669627</v>
      </c>
      <c r="I10" s="33">
        <f t="shared" si="3"/>
        <v>121.669627</v>
      </c>
      <c r="J10" s="34">
        <f t="shared" si="4"/>
        <v>0.243339254</v>
      </c>
      <c r="K10" s="35" t="s">
        <v>74</v>
      </c>
      <c r="L10" s="35" t="s">
        <v>226</v>
      </c>
      <c r="M10" s="7" t="s">
        <v>191</v>
      </c>
    </row>
    <row r="11">
      <c r="A11" s="11" t="s">
        <v>80</v>
      </c>
      <c r="B11" s="11" t="s">
        <v>81</v>
      </c>
      <c r="C11" s="13" t="s">
        <v>82</v>
      </c>
      <c r="D11" s="16">
        <v>1000.0</v>
      </c>
      <c r="E11" s="13">
        <v>0.28</v>
      </c>
      <c r="F11" s="5">
        <v>0.45</v>
      </c>
      <c r="G11" s="31">
        <f t="shared" si="1"/>
        <v>3571.428571</v>
      </c>
      <c r="H11" s="32">
        <f t="shared" si="2"/>
        <v>1607.142857</v>
      </c>
      <c r="I11" s="33">
        <f t="shared" si="3"/>
        <v>607.1428571</v>
      </c>
      <c r="J11" s="34">
        <f t="shared" si="4"/>
        <v>0.6071428571</v>
      </c>
      <c r="K11" s="36" t="s">
        <v>83</v>
      </c>
      <c r="L11" s="36" t="s">
        <v>227</v>
      </c>
      <c r="M11" s="13" t="s">
        <v>185</v>
      </c>
    </row>
    <row r="12">
      <c r="A12" s="11" t="s">
        <v>80</v>
      </c>
      <c r="B12" s="11" t="s">
        <v>92</v>
      </c>
      <c r="C12" s="13" t="s">
        <v>93</v>
      </c>
      <c r="D12" s="16">
        <v>500.0</v>
      </c>
      <c r="E12" s="13">
        <v>0.13</v>
      </c>
      <c r="F12" s="5">
        <v>0.22</v>
      </c>
      <c r="G12" s="31">
        <f t="shared" si="1"/>
        <v>3846.153846</v>
      </c>
      <c r="H12" s="32">
        <f t="shared" si="2"/>
        <v>846.1538462</v>
      </c>
      <c r="I12" s="33">
        <f t="shared" si="3"/>
        <v>346.1538462</v>
      </c>
      <c r="J12" s="34">
        <f t="shared" si="4"/>
        <v>0.6923076923</v>
      </c>
      <c r="K12" s="36" t="s">
        <v>94</v>
      </c>
      <c r="L12" s="36" t="s">
        <v>228</v>
      </c>
      <c r="M12" s="13" t="s">
        <v>194</v>
      </c>
    </row>
    <row r="13">
      <c r="A13" s="11" t="s">
        <v>80</v>
      </c>
      <c r="B13" s="11" t="s">
        <v>102</v>
      </c>
      <c r="C13" s="13" t="s">
        <v>103</v>
      </c>
      <c r="D13" s="16">
        <v>500.0</v>
      </c>
      <c r="E13" s="13">
        <v>0.75</v>
      </c>
      <c r="F13" s="5">
        <v>1.0</v>
      </c>
      <c r="G13" s="31">
        <f t="shared" si="1"/>
        <v>666.6666667</v>
      </c>
      <c r="H13" s="32">
        <f t="shared" si="2"/>
        <v>666.6666667</v>
      </c>
      <c r="I13" s="33">
        <f t="shared" si="3"/>
        <v>166.6666667</v>
      </c>
      <c r="J13" s="34">
        <f t="shared" si="4"/>
        <v>0.3333333333</v>
      </c>
      <c r="K13" s="36" t="s">
        <v>104</v>
      </c>
      <c r="L13" s="36" t="s">
        <v>229</v>
      </c>
      <c r="M13" s="13" t="s">
        <v>185</v>
      </c>
    </row>
    <row r="14">
      <c r="A14" s="37" t="s">
        <v>112</v>
      </c>
      <c r="B14" s="37" t="s">
        <v>113</v>
      </c>
      <c r="C14" s="38" t="s">
        <v>114</v>
      </c>
      <c r="D14" s="39">
        <v>750.0</v>
      </c>
      <c r="E14" s="38">
        <v>0.0485</v>
      </c>
      <c r="F14" s="5">
        <v>0.1</v>
      </c>
      <c r="G14" s="31">
        <f t="shared" si="1"/>
        <v>15463.91753</v>
      </c>
      <c r="H14" s="32">
        <f t="shared" si="2"/>
        <v>1546.391753</v>
      </c>
      <c r="I14" s="33">
        <f t="shared" si="3"/>
        <v>796.3917526</v>
      </c>
      <c r="J14" s="34">
        <f t="shared" si="4"/>
        <v>1.06185567</v>
      </c>
      <c r="K14" s="40" t="s">
        <v>115</v>
      </c>
      <c r="L14" s="40" t="s">
        <v>230</v>
      </c>
      <c r="M14" s="38" t="s">
        <v>185</v>
      </c>
    </row>
    <row r="15">
      <c r="A15" s="37" t="s">
        <v>112</v>
      </c>
      <c r="B15" s="37" t="s">
        <v>123</v>
      </c>
      <c r="C15" s="38" t="s">
        <v>124</v>
      </c>
      <c r="D15" s="39">
        <v>750.0</v>
      </c>
      <c r="E15" s="38">
        <v>0.1</v>
      </c>
      <c r="F15" s="5">
        <v>0.25</v>
      </c>
      <c r="G15" s="31">
        <f t="shared" si="1"/>
        <v>7500</v>
      </c>
      <c r="H15" s="32">
        <f t="shared" si="2"/>
        <v>1875</v>
      </c>
      <c r="I15" s="33">
        <f t="shared" si="3"/>
        <v>1125</v>
      </c>
      <c r="J15" s="34">
        <f t="shared" si="4"/>
        <v>1.5</v>
      </c>
      <c r="K15" s="40" t="s">
        <v>125</v>
      </c>
      <c r="L15" s="40" t="s">
        <v>231</v>
      </c>
      <c r="M15" s="38" t="s">
        <v>185</v>
      </c>
    </row>
    <row r="16">
      <c r="A16" s="23" t="s">
        <v>161</v>
      </c>
      <c r="B16" s="24" t="s">
        <v>162</v>
      </c>
      <c r="C16" s="23" t="s">
        <v>198</v>
      </c>
      <c r="D16" s="41">
        <v>1000.0</v>
      </c>
      <c r="E16" s="23"/>
      <c r="F16" s="23"/>
      <c r="G16" s="23"/>
      <c r="H16" s="42">
        <v>1000.0</v>
      </c>
      <c r="I16" s="43">
        <v>0.0</v>
      </c>
      <c r="J16" s="23"/>
      <c r="K16" s="23"/>
      <c r="L16" s="23"/>
      <c r="M16" s="23"/>
    </row>
    <row r="17">
      <c r="B17" s="44" t="s">
        <v>199</v>
      </c>
      <c r="D17" s="45">
        <f>SUM(D6:D16)</f>
        <v>10000</v>
      </c>
      <c r="H17" s="46">
        <f>SUM(H6:H16)</f>
        <v>16727.10892</v>
      </c>
      <c r="I17" s="47">
        <f>H17-D17</f>
        <v>6727.10892</v>
      </c>
      <c r="J17" s="48">
        <f>I17/D17</f>
        <v>0.672710892</v>
      </c>
    </row>
    <row r="19">
      <c r="A19" s="29" t="s">
        <v>232</v>
      </c>
    </row>
    <row r="20">
      <c r="A20" s="49" t="s">
        <v>201</v>
      </c>
      <c r="C20" s="50">
        <f>D17</f>
        <v>10000</v>
      </c>
    </row>
    <row r="21" ht="15.75" customHeight="1">
      <c r="A21" s="49" t="s">
        <v>202</v>
      </c>
      <c r="C21" s="51">
        <f>H17</f>
        <v>16727.10892</v>
      </c>
    </row>
    <row r="22" ht="15.75" customHeight="1">
      <c r="A22" s="49" t="s">
        <v>203</v>
      </c>
      <c r="C22" s="51">
        <f>I17</f>
        <v>6727.10892</v>
      </c>
    </row>
    <row r="23" ht="15.75" customHeight="1">
      <c r="A23" s="49" t="s">
        <v>204</v>
      </c>
      <c r="C23" s="52">
        <f>J17</f>
        <v>0.672710892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3:M3"/>
    <mergeCell ref="A19:M19"/>
    <mergeCell ref="A20:B20"/>
    <mergeCell ref="A21:B21"/>
    <mergeCell ref="A22:B22"/>
    <mergeCell ref="A23:B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1FAE5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7.0"/>
    <col customWidth="1" min="3" max="3" width="14.0"/>
    <col customWidth="1" min="4" max="6" width="9.0"/>
    <col customWidth="1" min="7" max="9" width="10.0"/>
    <col customWidth="1" min="10" max="10" width="8.0"/>
    <col customWidth="1" min="11" max="11" width="22.0"/>
    <col customWidth="1" min="12" max="12" width="30.0"/>
    <col customWidth="1" min="13" max="13" width="10.0"/>
    <col customWidth="1" min="14" max="26" width="8.71"/>
  </cols>
  <sheetData>
    <row r="1">
      <c r="A1" s="1" t="s">
        <v>233</v>
      </c>
    </row>
    <row r="2">
      <c r="A2" s="2" t="s">
        <v>234</v>
      </c>
    </row>
    <row r="3">
      <c r="A3" s="29" t="s">
        <v>235</v>
      </c>
    </row>
    <row r="5">
      <c r="A5" s="4" t="s">
        <v>2</v>
      </c>
      <c r="B5" s="4" t="s">
        <v>3</v>
      </c>
      <c r="C5" s="4" t="s">
        <v>4</v>
      </c>
      <c r="D5" s="4" t="s">
        <v>174</v>
      </c>
      <c r="E5" s="4" t="s">
        <v>175</v>
      </c>
      <c r="F5" s="4" t="s">
        <v>176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</row>
    <row r="6">
      <c r="A6" s="5" t="s">
        <v>24</v>
      </c>
      <c r="B6" s="5" t="s">
        <v>25</v>
      </c>
      <c r="C6" s="7" t="s">
        <v>26</v>
      </c>
      <c r="D6" s="10">
        <v>1500.0</v>
      </c>
      <c r="E6" s="7">
        <v>0.72</v>
      </c>
      <c r="F6" s="11">
        <v>1.2</v>
      </c>
      <c r="G6" s="31">
        <f t="shared" ref="G6:G15" si="1">D6/E6</f>
        <v>2083.333333</v>
      </c>
      <c r="H6" s="32">
        <f t="shared" ref="H6:H15" si="2">G6*F6</f>
        <v>2500</v>
      </c>
      <c r="I6" s="33">
        <f t="shared" ref="I6:I15" si="3">H6-D6</f>
        <v>1000</v>
      </c>
      <c r="J6" s="34">
        <f t="shared" ref="J6:J15" si="4">I6/D6</f>
        <v>0.6666666667</v>
      </c>
      <c r="K6" s="35" t="s">
        <v>28</v>
      </c>
      <c r="L6" s="35" t="s">
        <v>236</v>
      </c>
      <c r="M6" s="7" t="s">
        <v>185</v>
      </c>
    </row>
    <row r="7">
      <c r="A7" s="5" t="s">
        <v>24</v>
      </c>
      <c r="B7" s="5" t="s">
        <v>40</v>
      </c>
      <c r="C7" s="7" t="s">
        <v>41</v>
      </c>
      <c r="D7" s="10">
        <v>1500.0</v>
      </c>
      <c r="E7" s="7">
        <v>4.1</v>
      </c>
      <c r="F7" s="11">
        <v>12.0</v>
      </c>
      <c r="G7" s="31">
        <f t="shared" si="1"/>
        <v>365.8536585</v>
      </c>
      <c r="H7" s="32">
        <f t="shared" si="2"/>
        <v>4390.243902</v>
      </c>
      <c r="I7" s="33">
        <f t="shared" si="3"/>
        <v>2890.243902</v>
      </c>
      <c r="J7" s="34">
        <f t="shared" si="4"/>
        <v>1.926829268</v>
      </c>
      <c r="K7" s="35" t="s">
        <v>43</v>
      </c>
      <c r="L7" s="35" t="s">
        <v>237</v>
      </c>
      <c r="M7" s="7" t="s">
        <v>185</v>
      </c>
    </row>
    <row r="8">
      <c r="A8" s="5" t="s">
        <v>24</v>
      </c>
      <c r="B8" s="5" t="s">
        <v>51</v>
      </c>
      <c r="C8" s="7" t="s">
        <v>52</v>
      </c>
      <c r="D8" s="10">
        <v>1000.0</v>
      </c>
      <c r="E8" s="7">
        <v>2.04</v>
      </c>
      <c r="F8" s="11">
        <v>3.6</v>
      </c>
      <c r="G8" s="31">
        <f t="shared" si="1"/>
        <v>490.1960784</v>
      </c>
      <c r="H8" s="32">
        <f t="shared" si="2"/>
        <v>1764.705882</v>
      </c>
      <c r="I8" s="33">
        <f t="shared" si="3"/>
        <v>764.7058824</v>
      </c>
      <c r="J8" s="34">
        <f t="shared" si="4"/>
        <v>0.7647058824</v>
      </c>
      <c r="K8" s="35" t="s">
        <v>53</v>
      </c>
      <c r="L8" s="35" t="s">
        <v>238</v>
      </c>
      <c r="M8" s="7" t="s">
        <v>188</v>
      </c>
    </row>
    <row r="9">
      <c r="A9" s="5" t="s">
        <v>24</v>
      </c>
      <c r="B9" s="5" t="s">
        <v>63</v>
      </c>
      <c r="C9" s="7" t="s">
        <v>64</v>
      </c>
      <c r="D9" s="10">
        <v>1000.0</v>
      </c>
      <c r="E9" s="7">
        <v>2.4</v>
      </c>
      <c r="F9" s="11">
        <v>7.0</v>
      </c>
      <c r="G9" s="31">
        <f t="shared" si="1"/>
        <v>416.6666667</v>
      </c>
      <c r="H9" s="32">
        <f t="shared" si="2"/>
        <v>2916.666667</v>
      </c>
      <c r="I9" s="33">
        <f t="shared" si="3"/>
        <v>1916.666667</v>
      </c>
      <c r="J9" s="34">
        <f t="shared" si="4"/>
        <v>1.916666667</v>
      </c>
      <c r="K9" s="35" t="s">
        <v>65</v>
      </c>
      <c r="L9" s="35" t="s">
        <v>239</v>
      </c>
      <c r="M9" s="7" t="s">
        <v>185</v>
      </c>
    </row>
    <row r="10">
      <c r="A10" s="5" t="s">
        <v>24</v>
      </c>
      <c r="B10" s="5" t="s">
        <v>72</v>
      </c>
      <c r="C10" s="7" t="s">
        <v>73</v>
      </c>
      <c r="D10" s="10">
        <v>500.0</v>
      </c>
      <c r="E10" s="7">
        <v>33.78</v>
      </c>
      <c r="F10" s="11">
        <v>50.0</v>
      </c>
      <c r="G10" s="31">
        <f t="shared" si="1"/>
        <v>14.80165779</v>
      </c>
      <c r="H10" s="32">
        <f t="shared" si="2"/>
        <v>740.0828893</v>
      </c>
      <c r="I10" s="33">
        <f t="shared" si="3"/>
        <v>240.0828893</v>
      </c>
      <c r="J10" s="34">
        <f t="shared" si="4"/>
        <v>0.4801657786</v>
      </c>
      <c r="K10" s="35" t="s">
        <v>74</v>
      </c>
      <c r="L10" s="35" t="s">
        <v>240</v>
      </c>
      <c r="M10" s="7" t="s">
        <v>191</v>
      </c>
    </row>
    <row r="11">
      <c r="A11" s="11" t="s">
        <v>80</v>
      </c>
      <c r="B11" s="11" t="s">
        <v>81</v>
      </c>
      <c r="C11" s="13" t="s">
        <v>82</v>
      </c>
      <c r="D11" s="16">
        <v>1000.0</v>
      </c>
      <c r="E11" s="13">
        <v>0.28</v>
      </c>
      <c r="F11" s="11">
        <v>0.54</v>
      </c>
      <c r="G11" s="31">
        <f t="shared" si="1"/>
        <v>3571.428571</v>
      </c>
      <c r="H11" s="32">
        <f t="shared" si="2"/>
        <v>1928.571429</v>
      </c>
      <c r="I11" s="33">
        <f t="shared" si="3"/>
        <v>928.5714286</v>
      </c>
      <c r="J11" s="34">
        <f t="shared" si="4"/>
        <v>0.9285714286</v>
      </c>
      <c r="K11" s="36" t="s">
        <v>83</v>
      </c>
      <c r="L11" s="36" t="s">
        <v>241</v>
      </c>
      <c r="M11" s="13" t="s">
        <v>185</v>
      </c>
    </row>
    <row r="12">
      <c r="A12" s="11" t="s">
        <v>80</v>
      </c>
      <c r="B12" s="11" t="s">
        <v>92</v>
      </c>
      <c r="C12" s="13" t="s">
        <v>93</v>
      </c>
      <c r="D12" s="16">
        <v>500.0</v>
      </c>
      <c r="E12" s="13">
        <v>0.13</v>
      </c>
      <c r="F12" s="11">
        <v>0.28</v>
      </c>
      <c r="G12" s="31">
        <f t="shared" si="1"/>
        <v>3846.153846</v>
      </c>
      <c r="H12" s="32">
        <f t="shared" si="2"/>
        <v>1076.923077</v>
      </c>
      <c r="I12" s="33">
        <f t="shared" si="3"/>
        <v>576.9230769</v>
      </c>
      <c r="J12" s="34">
        <f t="shared" si="4"/>
        <v>1.153846154</v>
      </c>
      <c r="K12" s="36" t="s">
        <v>94</v>
      </c>
      <c r="L12" s="36" t="s">
        <v>242</v>
      </c>
      <c r="M12" s="13" t="s">
        <v>194</v>
      </c>
    </row>
    <row r="13">
      <c r="A13" s="11" t="s">
        <v>80</v>
      </c>
      <c r="B13" s="11" t="s">
        <v>102</v>
      </c>
      <c r="C13" s="13" t="s">
        <v>103</v>
      </c>
      <c r="D13" s="16">
        <v>500.0</v>
      </c>
      <c r="E13" s="13">
        <v>0.75</v>
      </c>
      <c r="F13" s="11">
        <v>1.2</v>
      </c>
      <c r="G13" s="31">
        <f t="shared" si="1"/>
        <v>666.6666667</v>
      </c>
      <c r="H13" s="32">
        <f t="shared" si="2"/>
        <v>800</v>
      </c>
      <c r="I13" s="33">
        <f t="shared" si="3"/>
        <v>300</v>
      </c>
      <c r="J13" s="34">
        <f t="shared" si="4"/>
        <v>0.6</v>
      </c>
      <c r="K13" s="36" t="s">
        <v>104</v>
      </c>
      <c r="L13" s="36" t="s">
        <v>243</v>
      </c>
      <c r="M13" s="13" t="s">
        <v>185</v>
      </c>
    </row>
    <row r="14">
      <c r="A14" s="37" t="s">
        <v>112</v>
      </c>
      <c r="B14" s="37" t="s">
        <v>113</v>
      </c>
      <c r="C14" s="38" t="s">
        <v>114</v>
      </c>
      <c r="D14" s="39">
        <v>750.0</v>
      </c>
      <c r="E14" s="38">
        <v>0.0485</v>
      </c>
      <c r="F14" s="11">
        <v>0.15</v>
      </c>
      <c r="G14" s="31">
        <f t="shared" si="1"/>
        <v>15463.91753</v>
      </c>
      <c r="H14" s="32">
        <f t="shared" si="2"/>
        <v>2319.587629</v>
      </c>
      <c r="I14" s="33">
        <f t="shared" si="3"/>
        <v>1569.587629</v>
      </c>
      <c r="J14" s="34">
        <f t="shared" si="4"/>
        <v>2.092783505</v>
      </c>
      <c r="K14" s="40" t="s">
        <v>115</v>
      </c>
      <c r="L14" s="40" t="s">
        <v>244</v>
      </c>
      <c r="M14" s="38" t="s">
        <v>185</v>
      </c>
    </row>
    <row r="15">
      <c r="A15" s="37" t="s">
        <v>112</v>
      </c>
      <c r="B15" s="37" t="s">
        <v>123</v>
      </c>
      <c r="C15" s="38" t="s">
        <v>124</v>
      </c>
      <c r="D15" s="39">
        <v>750.0</v>
      </c>
      <c r="E15" s="38">
        <v>0.1</v>
      </c>
      <c r="F15" s="11">
        <v>0.5</v>
      </c>
      <c r="G15" s="31">
        <f t="shared" si="1"/>
        <v>7500</v>
      </c>
      <c r="H15" s="32">
        <f t="shared" si="2"/>
        <v>3750</v>
      </c>
      <c r="I15" s="33">
        <f t="shared" si="3"/>
        <v>3000</v>
      </c>
      <c r="J15" s="34">
        <f t="shared" si="4"/>
        <v>4</v>
      </c>
      <c r="K15" s="40" t="s">
        <v>125</v>
      </c>
      <c r="L15" s="40" t="s">
        <v>245</v>
      </c>
      <c r="M15" s="38" t="s">
        <v>185</v>
      </c>
    </row>
    <row r="16">
      <c r="A16" s="23" t="s">
        <v>161</v>
      </c>
      <c r="B16" s="24" t="s">
        <v>162</v>
      </c>
      <c r="C16" s="23" t="s">
        <v>198</v>
      </c>
      <c r="D16" s="41">
        <v>1000.0</v>
      </c>
      <c r="E16" s="23"/>
      <c r="F16" s="23"/>
      <c r="G16" s="23"/>
      <c r="H16" s="42">
        <v>1000.0</v>
      </c>
      <c r="I16" s="43">
        <v>0.0</v>
      </c>
      <c r="J16" s="23"/>
      <c r="K16" s="23"/>
      <c r="L16" s="23"/>
      <c r="M16" s="23"/>
    </row>
    <row r="17">
      <c r="B17" s="44" t="s">
        <v>199</v>
      </c>
      <c r="D17" s="45">
        <f>SUM(D6:D16)</f>
        <v>10000</v>
      </c>
      <c r="H17" s="46">
        <f>SUM(H6:H16)</f>
        <v>23186.78148</v>
      </c>
      <c r="I17" s="47">
        <f>H17-D17</f>
        <v>13186.78148</v>
      </c>
      <c r="J17" s="48">
        <f>I17/D17</f>
        <v>1.318678148</v>
      </c>
    </row>
    <row r="19">
      <c r="A19" s="29" t="s">
        <v>246</v>
      </c>
    </row>
    <row r="20">
      <c r="A20" s="49" t="s">
        <v>201</v>
      </c>
      <c r="C20" s="50">
        <f>D17</f>
        <v>10000</v>
      </c>
    </row>
    <row r="21" ht="15.75" customHeight="1">
      <c r="A21" s="49" t="s">
        <v>202</v>
      </c>
      <c r="C21" s="51">
        <f>H17</f>
        <v>23186.78148</v>
      </c>
    </row>
    <row r="22" ht="15.75" customHeight="1">
      <c r="A22" s="49" t="s">
        <v>203</v>
      </c>
      <c r="C22" s="51">
        <f>I17</f>
        <v>13186.78148</v>
      </c>
    </row>
    <row r="23" ht="15.75" customHeight="1">
      <c r="A23" s="49" t="s">
        <v>204</v>
      </c>
      <c r="C23" s="52">
        <f>J17</f>
        <v>1.318678148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3:M3"/>
    <mergeCell ref="A19:M19"/>
    <mergeCell ref="A20:B20"/>
    <mergeCell ref="A21:B21"/>
    <mergeCell ref="A22:B22"/>
    <mergeCell ref="A23:B2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3C7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7.0"/>
    <col customWidth="1" min="3" max="3" width="14.0"/>
    <col customWidth="1" min="4" max="6" width="9.0"/>
    <col customWidth="1" min="7" max="9" width="10.0"/>
    <col customWidth="1" min="10" max="10" width="8.0"/>
    <col customWidth="1" min="11" max="11" width="22.0"/>
    <col customWidth="1" min="12" max="12" width="30.0"/>
    <col customWidth="1" min="13" max="13" width="10.0"/>
    <col customWidth="1" min="14" max="26" width="8.71"/>
  </cols>
  <sheetData>
    <row r="1">
      <c r="A1" s="1" t="s">
        <v>247</v>
      </c>
    </row>
    <row r="2">
      <c r="A2" s="2" t="s">
        <v>248</v>
      </c>
    </row>
    <row r="3">
      <c r="A3" s="29" t="s">
        <v>249</v>
      </c>
    </row>
    <row r="5">
      <c r="A5" s="4" t="s">
        <v>2</v>
      </c>
      <c r="B5" s="4" t="s">
        <v>3</v>
      </c>
      <c r="C5" s="4" t="s">
        <v>4</v>
      </c>
      <c r="D5" s="4" t="s">
        <v>174</v>
      </c>
      <c r="E5" s="4" t="s">
        <v>175</v>
      </c>
      <c r="F5" s="4" t="s">
        <v>176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</row>
    <row r="6">
      <c r="A6" s="5" t="s">
        <v>24</v>
      </c>
      <c r="B6" s="5" t="s">
        <v>25</v>
      </c>
      <c r="C6" s="7" t="s">
        <v>26</v>
      </c>
      <c r="D6" s="10">
        <v>1500.0</v>
      </c>
      <c r="E6" s="7">
        <v>0.72</v>
      </c>
      <c r="F6" s="37">
        <v>1.5</v>
      </c>
      <c r="G6" s="31">
        <f t="shared" ref="G6:G15" si="1">D6/E6</f>
        <v>2083.333333</v>
      </c>
      <c r="H6" s="32">
        <f t="shared" ref="H6:H15" si="2">G6*F6</f>
        <v>3125</v>
      </c>
      <c r="I6" s="33">
        <f t="shared" ref="I6:I15" si="3">H6-D6</f>
        <v>1625</v>
      </c>
      <c r="J6" s="34">
        <f t="shared" ref="J6:J15" si="4">I6/D6</f>
        <v>1.083333333</v>
      </c>
      <c r="K6" s="35" t="s">
        <v>28</v>
      </c>
      <c r="L6" s="35" t="s">
        <v>250</v>
      </c>
      <c r="M6" s="7" t="s">
        <v>185</v>
      </c>
    </row>
    <row r="7">
      <c r="A7" s="5" t="s">
        <v>24</v>
      </c>
      <c r="B7" s="5" t="s">
        <v>40</v>
      </c>
      <c r="C7" s="7" t="s">
        <v>41</v>
      </c>
      <c r="D7" s="10">
        <v>1500.0</v>
      </c>
      <c r="E7" s="7">
        <v>4.1</v>
      </c>
      <c r="F7" s="37">
        <v>16.0</v>
      </c>
      <c r="G7" s="31">
        <f t="shared" si="1"/>
        <v>365.8536585</v>
      </c>
      <c r="H7" s="32">
        <f t="shared" si="2"/>
        <v>5853.658537</v>
      </c>
      <c r="I7" s="33">
        <f t="shared" si="3"/>
        <v>4353.658537</v>
      </c>
      <c r="J7" s="34">
        <f t="shared" si="4"/>
        <v>2.902439024</v>
      </c>
      <c r="K7" s="35" t="s">
        <v>43</v>
      </c>
      <c r="L7" s="35" t="s">
        <v>251</v>
      </c>
      <c r="M7" s="7" t="s">
        <v>185</v>
      </c>
    </row>
    <row r="8">
      <c r="A8" s="5" t="s">
        <v>24</v>
      </c>
      <c r="B8" s="5" t="s">
        <v>51</v>
      </c>
      <c r="C8" s="7" t="s">
        <v>52</v>
      </c>
      <c r="D8" s="10">
        <v>1000.0</v>
      </c>
      <c r="E8" s="7">
        <v>2.04</v>
      </c>
      <c r="F8" s="37">
        <v>4.2</v>
      </c>
      <c r="G8" s="31">
        <f t="shared" si="1"/>
        <v>490.1960784</v>
      </c>
      <c r="H8" s="32">
        <f t="shared" si="2"/>
        <v>2058.823529</v>
      </c>
      <c r="I8" s="33">
        <f t="shared" si="3"/>
        <v>1058.823529</v>
      </c>
      <c r="J8" s="34">
        <f t="shared" si="4"/>
        <v>1.058823529</v>
      </c>
      <c r="K8" s="35" t="s">
        <v>53</v>
      </c>
      <c r="L8" s="35" t="s">
        <v>252</v>
      </c>
      <c r="M8" s="7" t="s">
        <v>188</v>
      </c>
    </row>
    <row r="9">
      <c r="A9" s="5" t="s">
        <v>24</v>
      </c>
      <c r="B9" s="5" t="s">
        <v>63</v>
      </c>
      <c r="C9" s="7" t="s">
        <v>64</v>
      </c>
      <c r="D9" s="10">
        <v>1000.0</v>
      </c>
      <c r="E9" s="7">
        <v>2.4</v>
      </c>
      <c r="F9" s="37">
        <v>8.5</v>
      </c>
      <c r="G9" s="31">
        <f t="shared" si="1"/>
        <v>416.6666667</v>
      </c>
      <c r="H9" s="32">
        <f t="shared" si="2"/>
        <v>3541.666667</v>
      </c>
      <c r="I9" s="33">
        <f t="shared" si="3"/>
        <v>2541.666667</v>
      </c>
      <c r="J9" s="34">
        <f t="shared" si="4"/>
        <v>2.541666667</v>
      </c>
      <c r="K9" s="35" t="s">
        <v>65</v>
      </c>
      <c r="L9" s="35" t="s">
        <v>253</v>
      </c>
      <c r="M9" s="7" t="s">
        <v>185</v>
      </c>
    </row>
    <row r="10">
      <c r="A10" s="5" t="s">
        <v>24</v>
      </c>
      <c r="B10" s="5" t="s">
        <v>72</v>
      </c>
      <c r="C10" s="7" t="s">
        <v>73</v>
      </c>
      <c r="D10" s="10">
        <v>500.0</v>
      </c>
      <c r="E10" s="7">
        <v>33.78</v>
      </c>
      <c r="F10" s="37">
        <v>60.0</v>
      </c>
      <c r="G10" s="31">
        <f t="shared" si="1"/>
        <v>14.80165779</v>
      </c>
      <c r="H10" s="32">
        <f t="shared" si="2"/>
        <v>888.0994671</v>
      </c>
      <c r="I10" s="33">
        <f t="shared" si="3"/>
        <v>388.0994671</v>
      </c>
      <c r="J10" s="34">
        <f t="shared" si="4"/>
        <v>0.7761989343</v>
      </c>
      <c r="K10" s="35" t="s">
        <v>74</v>
      </c>
      <c r="L10" s="35" t="s">
        <v>254</v>
      </c>
      <c r="M10" s="7" t="s">
        <v>191</v>
      </c>
    </row>
    <row r="11">
      <c r="A11" s="11" t="s">
        <v>80</v>
      </c>
      <c r="B11" s="11" t="s">
        <v>81</v>
      </c>
      <c r="C11" s="13" t="s">
        <v>82</v>
      </c>
      <c r="D11" s="16">
        <v>1000.0</v>
      </c>
      <c r="E11" s="13">
        <v>0.28</v>
      </c>
      <c r="F11" s="37">
        <v>0.65</v>
      </c>
      <c r="G11" s="31">
        <f t="shared" si="1"/>
        <v>3571.428571</v>
      </c>
      <c r="H11" s="32">
        <f t="shared" si="2"/>
        <v>2321.428571</v>
      </c>
      <c r="I11" s="33">
        <f t="shared" si="3"/>
        <v>1321.428571</v>
      </c>
      <c r="J11" s="34">
        <f t="shared" si="4"/>
        <v>1.321428571</v>
      </c>
      <c r="K11" s="36" t="s">
        <v>83</v>
      </c>
      <c r="L11" s="36" t="s">
        <v>255</v>
      </c>
      <c r="M11" s="13" t="s">
        <v>185</v>
      </c>
    </row>
    <row r="12">
      <c r="A12" s="11" t="s">
        <v>80</v>
      </c>
      <c r="B12" s="11" t="s">
        <v>92</v>
      </c>
      <c r="C12" s="13" t="s">
        <v>93</v>
      </c>
      <c r="D12" s="16">
        <v>500.0</v>
      </c>
      <c r="E12" s="13">
        <v>0.13</v>
      </c>
      <c r="F12" s="37">
        <v>0.33</v>
      </c>
      <c r="G12" s="31">
        <f t="shared" si="1"/>
        <v>3846.153846</v>
      </c>
      <c r="H12" s="32">
        <f t="shared" si="2"/>
        <v>1269.230769</v>
      </c>
      <c r="I12" s="33">
        <f t="shared" si="3"/>
        <v>769.2307692</v>
      </c>
      <c r="J12" s="34">
        <f t="shared" si="4"/>
        <v>1.538461538</v>
      </c>
      <c r="K12" s="36" t="s">
        <v>94</v>
      </c>
      <c r="L12" s="36" t="s">
        <v>256</v>
      </c>
      <c r="M12" s="13" t="s">
        <v>194</v>
      </c>
    </row>
    <row r="13">
      <c r="A13" s="11" t="s">
        <v>80</v>
      </c>
      <c r="B13" s="11" t="s">
        <v>102</v>
      </c>
      <c r="C13" s="13" t="s">
        <v>103</v>
      </c>
      <c r="D13" s="16">
        <v>500.0</v>
      </c>
      <c r="E13" s="13">
        <v>0.75</v>
      </c>
      <c r="F13" s="37">
        <v>1.5</v>
      </c>
      <c r="G13" s="31">
        <f t="shared" si="1"/>
        <v>666.6666667</v>
      </c>
      <c r="H13" s="32">
        <f t="shared" si="2"/>
        <v>1000</v>
      </c>
      <c r="I13" s="33">
        <f t="shared" si="3"/>
        <v>500</v>
      </c>
      <c r="J13" s="34">
        <f t="shared" si="4"/>
        <v>1</v>
      </c>
      <c r="K13" s="36" t="s">
        <v>104</v>
      </c>
      <c r="L13" s="36" t="s">
        <v>257</v>
      </c>
      <c r="M13" s="13" t="s">
        <v>185</v>
      </c>
    </row>
    <row r="14">
      <c r="A14" s="37" t="s">
        <v>112</v>
      </c>
      <c r="B14" s="37" t="s">
        <v>113</v>
      </c>
      <c r="C14" s="38" t="s">
        <v>114</v>
      </c>
      <c r="D14" s="39">
        <v>750.0</v>
      </c>
      <c r="E14" s="38">
        <v>0.0485</v>
      </c>
      <c r="F14" s="37">
        <v>0.2</v>
      </c>
      <c r="G14" s="31">
        <f t="shared" si="1"/>
        <v>15463.91753</v>
      </c>
      <c r="H14" s="32">
        <f t="shared" si="2"/>
        <v>3092.783505</v>
      </c>
      <c r="I14" s="33">
        <f t="shared" si="3"/>
        <v>2342.783505</v>
      </c>
      <c r="J14" s="34">
        <f t="shared" si="4"/>
        <v>3.12371134</v>
      </c>
      <c r="K14" s="40" t="s">
        <v>115</v>
      </c>
      <c r="L14" s="40" t="s">
        <v>258</v>
      </c>
      <c r="M14" s="38" t="s">
        <v>185</v>
      </c>
    </row>
    <row r="15">
      <c r="A15" s="37" t="s">
        <v>112</v>
      </c>
      <c r="B15" s="37" t="s">
        <v>123</v>
      </c>
      <c r="C15" s="38" t="s">
        <v>124</v>
      </c>
      <c r="D15" s="39">
        <v>750.0</v>
      </c>
      <c r="E15" s="38">
        <v>0.1</v>
      </c>
      <c r="F15" s="37">
        <v>0.8</v>
      </c>
      <c r="G15" s="31">
        <f t="shared" si="1"/>
        <v>7500</v>
      </c>
      <c r="H15" s="32">
        <f t="shared" si="2"/>
        <v>6000</v>
      </c>
      <c r="I15" s="33">
        <f t="shared" si="3"/>
        <v>5250</v>
      </c>
      <c r="J15" s="34">
        <f t="shared" si="4"/>
        <v>7</v>
      </c>
      <c r="K15" s="40" t="s">
        <v>125</v>
      </c>
      <c r="L15" s="40" t="s">
        <v>259</v>
      </c>
      <c r="M15" s="38" t="s">
        <v>185</v>
      </c>
    </row>
    <row r="16">
      <c r="A16" s="23" t="s">
        <v>161</v>
      </c>
      <c r="B16" s="24" t="s">
        <v>162</v>
      </c>
      <c r="C16" s="23" t="s">
        <v>198</v>
      </c>
      <c r="D16" s="41">
        <v>1000.0</v>
      </c>
      <c r="E16" s="23"/>
      <c r="F16" s="23"/>
      <c r="G16" s="23"/>
      <c r="H16" s="42">
        <v>1000.0</v>
      </c>
      <c r="I16" s="43">
        <v>0.0</v>
      </c>
      <c r="J16" s="23"/>
      <c r="K16" s="23"/>
      <c r="L16" s="23"/>
      <c r="M16" s="23"/>
    </row>
    <row r="17">
      <c r="B17" s="44" t="s">
        <v>199</v>
      </c>
      <c r="D17" s="45">
        <f>SUM(D6:D16)</f>
        <v>10000</v>
      </c>
      <c r="H17" s="46">
        <f>SUM(H6:H16)</f>
        <v>30150.69105</v>
      </c>
      <c r="I17" s="47">
        <f>H17-D17</f>
        <v>20150.69105</v>
      </c>
      <c r="J17" s="48">
        <f>I17/D17</f>
        <v>2.015069105</v>
      </c>
    </row>
    <row r="19">
      <c r="A19" s="29" t="s">
        <v>260</v>
      </c>
    </row>
    <row r="20">
      <c r="A20" s="49" t="s">
        <v>201</v>
      </c>
      <c r="C20" s="50">
        <f>D17</f>
        <v>10000</v>
      </c>
    </row>
    <row r="21" ht="15.75" customHeight="1">
      <c r="A21" s="49" t="s">
        <v>202</v>
      </c>
      <c r="C21" s="51">
        <f>H17</f>
        <v>30150.69105</v>
      </c>
    </row>
    <row r="22" ht="15.75" customHeight="1">
      <c r="A22" s="49" t="s">
        <v>203</v>
      </c>
      <c r="C22" s="51">
        <f>I17</f>
        <v>20150.69105</v>
      </c>
    </row>
    <row r="23" ht="15.75" customHeight="1">
      <c r="A23" s="49" t="s">
        <v>204</v>
      </c>
      <c r="C23" s="52">
        <f>J17</f>
        <v>2.015069105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3:M3"/>
    <mergeCell ref="A19:M19"/>
    <mergeCell ref="A20:B20"/>
    <mergeCell ref="A21:B21"/>
    <mergeCell ref="A22:B22"/>
    <mergeCell ref="A23:B2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CACA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.0"/>
    <col customWidth="1" min="2" max="2" width="7.0"/>
    <col customWidth="1" min="3" max="3" width="14.0"/>
    <col customWidth="1" min="4" max="6" width="9.0"/>
    <col customWidth="1" min="7" max="9" width="10.0"/>
    <col customWidth="1" min="10" max="10" width="8.0"/>
    <col customWidth="1" min="11" max="11" width="22.0"/>
    <col customWidth="1" min="12" max="12" width="30.0"/>
    <col customWidth="1" min="13" max="13" width="10.0"/>
    <col customWidth="1" min="14" max="26" width="8.71"/>
  </cols>
  <sheetData>
    <row r="1">
      <c r="A1" s="1" t="s">
        <v>261</v>
      </c>
    </row>
    <row r="2">
      <c r="A2" s="2" t="s">
        <v>262</v>
      </c>
    </row>
    <row r="3">
      <c r="A3" s="29" t="s">
        <v>263</v>
      </c>
    </row>
    <row r="5">
      <c r="A5" s="4" t="s">
        <v>2</v>
      </c>
      <c r="B5" s="4" t="s">
        <v>3</v>
      </c>
      <c r="C5" s="4" t="s">
        <v>4</v>
      </c>
      <c r="D5" s="4" t="s">
        <v>174</v>
      </c>
      <c r="E5" s="4" t="s">
        <v>175</v>
      </c>
      <c r="F5" s="4" t="s">
        <v>176</v>
      </c>
      <c r="G5" s="4" t="s">
        <v>177</v>
      </c>
      <c r="H5" s="4" t="s">
        <v>178</v>
      </c>
      <c r="I5" s="4" t="s">
        <v>179</v>
      </c>
      <c r="J5" s="4" t="s">
        <v>180</v>
      </c>
      <c r="K5" s="4" t="s">
        <v>181</v>
      </c>
      <c r="L5" s="4" t="s">
        <v>182</v>
      </c>
      <c r="M5" s="4" t="s">
        <v>183</v>
      </c>
    </row>
    <row r="6">
      <c r="A6" s="5" t="s">
        <v>24</v>
      </c>
      <c r="B6" s="5" t="s">
        <v>25</v>
      </c>
      <c r="C6" s="7" t="s">
        <v>26</v>
      </c>
      <c r="D6" s="10">
        <v>1500.0</v>
      </c>
      <c r="E6" s="7">
        <v>0.72</v>
      </c>
      <c r="F6" s="54">
        <v>1.8</v>
      </c>
      <c r="G6" s="31">
        <f t="shared" ref="G6:G15" si="1">D6/E6</f>
        <v>2083.333333</v>
      </c>
      <c r="H6" s="32">
        <f t="shared" ref="H6:H15" si="2">G6*F6</f>
        <v>3750</v>
      </c>
      <c r="I6" s="33">
        <f t="shared" ref="I6:I15" si="3">H6-D6</f>
        <v>2250</v>
      </c>
      <c r="J6" s="34">
        <f t="shared" ref="J6:J15" si="4">I6/D6</f>
        <v>1.5</v>
      </c>
      <c r="K6" s="35" t="s">
        <v>28</v>
      </c>
      <c r="L6" s="35" t="s">
        <v>264</v>
      </c>
      <c r="M6" s="7" t="s">
        <v>185</v>
      </c>
    </row>
    <row r="7">
      <c r="A7" s="5" t="s">
        <v>24</v>
      </c>
      <c r="B7" s="5" t="s">
        <v>40</v>
      </c>
      <c r="C7" s="7" t="s">
        <v>41</v>
      </c>
      <c r="D7" s="10">
        <v>1500.0</v>
      </c>
      <c r="E7" s="7">
        <v>4.1</v>
      </c>
      <c r="F7" s="54">
        <v>20.0</v>
      </c>
      <c r="G7" s="31">
        <f t="shared" si="1"/>
        <v>365.8536585</v>
      </c>
      <c r="H7" s="32">
        <f t="shared" si="2"/>
        <v>7317.073171</v>
      </c>
      <c r="I7" s="33">
        <f t="shared" si="3"/>
        <v>5817.073171</v>
      </c>
      <c r="J7" s="34">
        <f t="shared" si="4"/>
        <v>3.87804878</v>
      </c>
      <c r="K7" s="35" t="s">
        <v>43</v>
      </c>
      <c r="L7" s="35" t="s">
        <v>265</v>
      </c>
      <c r="M7" s="7" t="s">
        <v>185</v>
      </c>
    </row>
    <row r="8">
      <c r="A8" s="5" t="s">
        <v>24</v>
      </c>
      <c r="B8" s="5" t="s">
        <v>51</v>
      </c>
      <c r="C8" s="7" t="s">
        <v>52</v>
      </c>
      <c r="D8" s="10">
        <v>1000.0</v>
      </c>
      <c r="E8" s="7">
        <v>2.04</v>
      </c>
      <c r="F8" s="54">
        <v>4.5</v>
      </c>
      <c r="G8" s="31">
        <f t="shared" si="1"/>
        <v>490.1960784</v>
      </c>
      <c r="H8" s="32">
        <f t="shared" si="2"/>
        <v>2205.882353</v>
      </c>
      <c r="I8" s="33">
        <f t="shared" si="3"/>
        <v>1205.882353</v>
      </c>
      <c r="J8" s="34">
        <f t="shared" si="4"/>
        <v>1.205882353</v>
      </c>
      <c r="K8" s="35" t="s">
        <v>53</v>
      </c>
      <c r="L8" s="35" t="s">
        <v>266</v>
      </c>
      <c r="M8" s="7" t="s">
        <v>188</v>
      </c>
    </row>
    <row r="9">
      <c r="A9" s="5" t="s">
        <v>24</v>
      </c>
      <c r="B9" s="5" t="s">
        <v>63</v>
      </c>
      <c r="C9" s="7" t="s">
        <v>64</v>
      </c>
      <c r="D9" s="10">
        <v>1000.0</v>
      </c>
      <c r="E9" s="7">
        <v>2.4</v>
      </c>
      <c r="F9" s="54">
        <v>10.0</v>
      </c>
      <c r="G9" s="31">
        <f t="shared" si="1"/>
        <v>416.6666667</v>
      </c>
      <c r="H9" s="32">
        <f t="shared" si="2"/>
        <v>4166.666667</v>
      </c>
      <c r="I9" s="33">
        <f t="shared" si="3"/>
        <v>3166.666667</v>
      </c>
      <c r="J9" s="34">
        <f t="shared" si="4"/>
        <v>3.166666667</v>
      </c>
      <c r="K9" s="35" t="s">
        <v>65</v>
      </c>
      <c r="L9" s="35" t="s">
        <v>267</v>
      </c>
      <c r="M9" s="7" t="s">
        <v>185</v>
      </c>
    </row>
    <row r="10">
      <c r="A10" s="5" t="s">
        <v>24</v>
      </c>
      <c r="B10" s="5" t="s">
        <v>72</v>
      </c>
      <c r="C10" s="7" t="s">
        <v>73</v>
      </c>
      <c r="D10" s="10">
        <v>500.0</v>
      </c>
      <c r="E10" s="7">
        <v>33.78</v>
      </c>
      <c r="F10" s="54">
        <v>70.0</v>
      </c>
      <c r="G10" s="31">
        <f t="shared" si="1"/>
        <v>14.80165779</v>
      </c>
      <c r="H10" s="32">
        <f t="shared" si="2"/>
        <v>1036.116045</v>
      </c>
      <c r="I10" s="33">
        <f t="shared" si="3"/>
        <v>536.116045</v>
      </c>
      <c r="J10" s="34">
        <f t="shared" si="4"/>
        <v>1.07223209</v>
      </c>
      <c r="K10" s="35" t="s">
        <v>74</v>
      </c>
      <c r="L10" s="35" t="s">
        <v>268</v>
      </c>
      <c r="M10" s="7" t="s">
        <v>191</v>
      </c>
    </row>
    <row r="11">
      <c r="A11" s="11" t="s">
        <v>80</v>
      </c>
      <c r="B11" s="11" t="s">
        <v>81</v>
      </c>
      <c r="C11" s="13" t="s">
        <v>82</v>
      </c>
      <c r="D11" s="16">
        <v>1000.0</v>
      </c>
      <c r="E11" s="13">
        <v>0.28</v>
      </c>
      <c r="F11" s="54">
        <v>0.75</v>
      </c>
      <c r="G11" s="31">
        <f t="shared" si="1"/>
        <v>3571.428571</v>
      </c>
      <c r="H11" s="32">
        <f t="shared" si="2"/>
        <v>2678.571429</v>
      </c>
      <c r="I11" s="33">
        <f t="shared" si="3"/>
        <v>1678.571429</v>
      </c>
      <c r="J11" s="34">
        <f t="shared" si="4"/>
        <v>1.678571429</v>
      </c>
      <c r="K11" s="36" t="s">
        <v>83</v>
      </c>
      <c r="L11" s="36" t="s">
        <v>269</v>
      </c>
      <c r="M11" s="13" t="s">
        <v>185</v>
      </c>
    </row>
    <row r="12">
      <c r="A12" s="11" t="s">
        <v>80</v>
      </c>
      <c r="B12" s="11" t="s">
        <v>92</v>
      </c>
      <c r="C12" s="13" t="s">
        <v>93</v>
      </c>
      <c r="D12" s="16">
        <v>500.0</v>
      </c>
      <c r="E12" s="13">
        <v>0.13</v>
      </c>
      <c r="F12" s="54">
        <v>0.38</v>
      </c>
      <c r="G12" s="31">
        <f t="shared" si="1"/>
        <v>3846.153846</v>
      </c>
      <c r="H12" s="32">
        <f t="shared" si="2"/>
        <v>1461.538462</v>
      </c>
      <c r="I12" s="33">
        <f t="shared" si="3"/>
        <v>961.5384615</v>
      </c>
      <c r="J12" s="34">
        <f t="shared" si="4"/>
        <v>1.923076923</v>
      </c>
      <c r="K12" s="36" t="s">
        <v>94</v>
      </c>
      <c r="L12" s="36" t="s">
        <v>270</v>
      </c>
      <c r="M12" s="13" t="s">
        <v>194</v>
      </c>
    </row>
    <row r="13">
      <c r="A13" s="11" t="s">
        <v>80</v>
      </c>
      <c r="B13" s="11" t="s">
        <v>102</v>
      </c>
      <c r="C13" s="13" t="s">
        <v>103</v>
      </c>
      <c r="D13" s="16">
        <v>500.0</v>
      </c>
      <c r="E13" s="13">
        <v>0.75</v>
      </c>
      <c r="F13" s="54">
        <v>1.8</v>
      </c>
      <c r="G13" s="31">
        <f t="shared" si="1"/>
        <v>666.6666667</v>
      </c>
      <c r="H13" s="32">
        <f t="shared" si="2"/>
        <v>1200</v>
      </c>
      <c r="I13" s="33">
        <f t="shared" si="3"/>
        <v>700</v>
      </c>
      <c r="J13" s="34">
        <f t="shared" si="4"/>
        <v>1.4</v>
      </c>
      <c r="K13" s="36" t="s">
        <v>104</v>
      </c>
      <c r="L13" s="36" t="s">
        <v>271</v>
      </c>
      <c r="M13" s="13" t="s">
        <v>185</v>
      </c>
    </row>
    <row r="14">
      <c r="A14" s="37" t="s">
        <v>112</v>
      </c>
      <c r="B14" s="37" t="s">
        <v>113</v>
      </c>
      <c r="C14" s="38" t="s">
        <v>114</v>
      </c>
      <c r="D14" s="39">
        <v>750.0</v>
      </c>
      <c r="E14" s="38">
        <v>0.0485</v>
      </c>
      <c r="F14" s="54">
        <v>0.25</v>
      </c>
      <c r="G14" s="31">
        <f t="shared" si="1"/>
        <v>15463.91753</v>
      </c>
      <c r="H14" s="32">
        <f t="shared" si="2"/>
        <v>3865.979381</v>
      </c>
      <c r="I14" s="33">
        <f t="shared" si="3"/>
        <v>3115.979381</v>
      </c>
      <c r="J14" s="34">
        <f t="shared" si="4"/>
        <v>4.154639175</v>
      </c>
      <c r="K14" s="40" t="s">
        <v>115</v>
      </c>
      <c r="L14" s="40" t="s">
        <v>272</v>
      </c>
      <c r="M14" s="38" t="s">
        <v>185</v>
      </c>
    </row>
    <row r="15">
      <c r="A15" s="37" t="s">
        <v>112</v>
      </c>
      <c r="B15" s="37" t="s">
        <v>123</v>
      </c>
      <c r="C15" s="38" t="s">
        <v>124</v>
      </c>
      <c r="D15" s="39">
        <v>750.0</v>
      </c>
      <c r="E15" s="38">
        <v>0.1</v>
      </c>
      <c r="F15" s="54">
        <v>1.0</v>
      </c>
      <c r="G15" s="31">
        <f t="shared" si="1"/>
        <v>7500</v>
      </c>
      <c r="H15" s="32">
        <f t="shared" si="2"/>
        <v>7500</v>
      </c>
      <c r="I15" s="33">
        <f t="shared" si="3"/>
        <v>6750</v>
      </c>
      <c r="J15" s="34">
        <f t="shared" si="4"/>
        <v>9</v>
      </c>
      <c r="K15" s="40" t="s">
        <v>125</v>
      </c>
      <c r="L15" s="40" t="s">
        <v>273</v>
      </c>
      <c r="M15" s="38" t="s">
        <v>185</v>
      </c>
    </row>
    <row r="16">
      <c r="A16" s="23" t="s">
        <v>161</v>
      </c>
      <c r="B16" s="24" t="s">
        <v>162</v>
      </c>
      <c r="C16" s="23" t="s">
        <v>198</v>
      </c>
      <c r="D16" s="41">
        <v>1000.0</v>
      </c>
      <c r="E16" s="23"/>
      <c r="F16" s="23"/>
      <c r="G16" s="23"/>
      <c r="H16" s="42">
        <v>1000.0</v>
      </c>
      <c r="I16" s="43">
        <v>0.0</v>
      </c>
      <c r="J16" s="23"/>
      <c r="K16" s="23"/>
      <c r="L16" s="23"/>
      <c r="M16" s="23"/>
    </row>
    <row r="17">
      <c r="B17" s="44" t="s">
        <v>199</v>
      </c>
      <c r="D17" s="45">
        <f>SUM(D6:D16)</f>
        <v>10000</v>
      </c>
      <c r="H17" s="46">
        <f>SUM(H6:H16)</f>
        <v>36181.82751</v>
      </c>
      <c r="I17" s="47">
        <f>H17-D17</f>
        <v>26181.82751</v>
      </c>
      <c r="J17" s="48">
        <f>I17/D17</f>
        <v>2.618182751</v>
      </c>
    </row>
    <row r="19">
      <c r="A19" s="29" t="s">
        <v>274</v>
      </c>
    </row>
    <row r="20">
      <c r="A20" s="49" t="s">
        <v>201</v>
      </c>
      <c r="C20" s="50">
        <f>D17</f>
        <v>10000</v>
      </c>
    </row>
    <row r="21" ht="15.75" customHeight="1">
      <c r="A21" s="49" t="s">
        <v>202</v>
      </c>
      <c r="C21" s="51">
        <f>H17</f>
        <v>36181.82751</v>
      </c>
    </row>
    <row r="22" ht="15.75" customHeight="1">
      <c r="A22" s="49" t="s">
        <v>203</v>
      </c>
      <c r="C22" s="51">
        <f>I17</f>
        <v>26181.82751</v>
      </c>
    </row>
    <row r="23" ht="15.75" customHeight="1">
      <c r="A23" s="49" t="s">
        <v>204</v>
      </c>
      <c r="C23" s="52">
        <f>J17</f>
        <v>2.618182751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M1"/>
    <mergeCell ref="A2:M2"/>
    <mergeCell ref="A3:M3"/>
    <mergeCell ref="A19:M19"/>
    <mergeCell ref="A20:B20"/>
    <mergeCell ref="A21:B21"/>
    <mergeCell ref="A22:B22"/>
    <mergeCell ref="A23:B23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4A843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10.0"/>
    <col customWidth="1" min="4" max="5" width="12.0"/>
    <col customWidth="1" min="6" max="6" width="9.0"/>
    <col customWidth="1" min="7" max="7" width="10.0"/>
    <col customWidth="1" min="8" max="9" width="12.0"/>
    <col customWidth="1" min="10" max="26" width="8.71"/>
  </cols>
  <sheetData>
    <row r="1">
      <c r="A1" s="1" t="s">
        <v>275</v>
      </c>
    </row>
    <row r="3">
      <c r="A3" s="4" t="s">
        <v>276</v>
      </c>
      <c r="B3" s="4" t="s">
        <v>277</v>
      </c>
      <c r="C3" s="4" t="s">
        <v>278</v>
      </c>
      <c r="D3" s="4" t="s">
        <v>279</v>
      </c>
      <c r="E3" s="4" t="s">
        <v>280</v>
      </c>
      <c r="F3" s="4" t="s">
        <v>180</v>
      </c>
      <c r="G3" s="4" t="s">
        <v>281</v>
      </c>
      <c r="H3" s="4" t="s">
        <v>282</v>
      </c>
      <c r="I3" s="4" t="s">
        <v>283</v>
      </c>
    </row>
    <row r="4">
      <c r="A4" s="30" t="s">
        <v>284</v>
      </c>
      <c r="B4" s="55" t="s">
        <v>285</v>
      </c>
      <c r="C4" s="56">
        <f>'BEAR CASE'!D17</f>
        <v>10000</v>
      </c>
      <c r="D4" s="56">
        <f>'BEAR CASE'!H17</f>
        <v>7344.278971</v>
      </c>
      <c r="E4" s="56">
        <f>'BEAR CASE'!I17</f>
        <v>-2655.721029</v>
      </c>
      <c r="F4" s="57">
        <f>'BEAR CASE'!J17</f>
        <v>-0.2655721029</v>
      </c>
      <c r="G4" s="55" t="s">
        <v>286</v>
      </c>
      <c r="H4" s="55" t="s">
        <v>287</v>
      </c>
      <c r="I4" s="55" t="s">
        <v>288</v>
      </c>
    </row>
    <row r="5">
      <c r="A5" s="53" t="s">
        <v>289</v>
      </c>
      <c r="B5" s="58" t="s">
        <v>290</v>
      </c>
      <c r="C5" s="59">
        <f>'BASE CASE'!D17</f>
        <v>10000</v>
      </c>
      <c r="D5" s="59">
        <f>'BASE CASE'!H17</f>
        <v>14878.60379</v>
      </c>
      <c r="E5" s="59">
        <f>'BASE CASE'!I17</f>
        <v>4878.603789</v>
      </c>
      <c r="F5" s="60">
        <f>'BASE CASE'!J17</f>
        <v>0.4878603789</v>
      </c>
      <c r="G5" s="58" t="s">
        <v>291</v>
      </c>
      <c r="H5" s="58" t="s">
        <v>292</v>
      </c>
      <c r="I5" s="58" t="s">
        <v>293</v>
      </c>
    </row>
    <row r="6">
      <c r="A6" s="5" t="s">
        <v>294</v>
      </c>
      <c r="B6" s="7" t="s">
        <v>295</v>
      </c>
      <c r="C6" s="61">
        <f>'REALISTIC MOONSHOT'!D17</f>
        <v>10000</v>
      </c>
      <c r="D6" s="61">
        <f>'REALISTIC MOONSHOT'!H17</f>
        <v>16727.10892</v>
      </c>
      <c r="E6" s="61">
        <f>'REALISTIC MOONSHOT'!I17</f>
        <v>6727.10892</v>
      </c>
      <c r="F6" s="62">
        <f>'REALISTIC MOONSHOT'!J17</f>
        <v>0.672710892</v>
      </c>
      <c r="G6" s="7" t="s">
        <v>296</v>
      </c>
      <c r="H6" s="7" t="s">
        <v>297</v>
      </c>
      <c r="I6" s="7" t="s">
        <v>298</v>
      </c>
    </row>
    <row r="7">
      <c r="A7" s="11" t="s">
        <v>299</v>
      </c>
      <c r="B7" s="13" t="s">
        <v>300</v>
      </c>
      <c r="C7" s="63">
        <f>'OPTIMISTIC MOONSHOT'!D17</f>
        <v>10000</v>
      </c>
      <c r="D7" s="63">
        <f>'OPTIMISTIC MOONSHOT'!H17</f>
        <v>23186.78148</v>
      </c>
      <c r="E7" s="63">
        <f>'OPTIMISTIC MOONSHOT'!I17</f>
        <v>13186.78148</v>
      </c>
      <c r="F7" s="64">
        <f>'OPTIMISTIC MOONSHOT'!J17</f>
        <v>1.318678148</v>
      </c>
      <c r="G7" s="13" t="s">
        <v>301</v>
      </c>
      <c r="H7" s="13" t="s">
        <v>302</v>
      </c>
      <c r="I7" s="13" t="s">
        <v>303</v>
      </c>
    </row>
    <row r="8">
      <c r="A8" s="37" t="s">
        <v>304</v>
      </c>
      <c r="B8" s="38" t="s">
        <v>305</v>
      </c>
      <c r="C8" s="65">
        <f>'EVERYTHING HITS'!D17</f>
        <v>10000</v>
      </c>
      <c r="D8" s="65">
        <f>'EVERYTHING HITS'!H17</f>
        <v>30150.69105</v>
      </c>
      <c r="E8" s="65">
        <f>'EVERYTHING HITS'!I17</f>
        <v>20150.69105</v>
      </c>
      <c r="F8" s="66">
        <f>'EVERYTHING HITS'!J17</f>
        <v>2.015069105</v>
      </c>
      <c r="G8" s="38" t="s">
        <v>306</v>
      </c>
      <c r="H8" s="38" t="s">
        <v>307</v>
      </c>
      <c r="I8" s="38" t="s">
        <v>308</v>
      </c>
    </row>
    <row r="9">
      <c r="A9" s="54" t="s">
        <v>309</v>
      </c>
      <c r="B9" s="67" t="s">
        <v>310</v>
      </c>
      <c r="C9" s="68">
        <f>'ABSOLUTE CEILING'!D17</f>
        <v>10000</v>
      </c>
      <c r="D9" s="68">
        <f>'ABSOLUTE CEILING'!H17</f>
        <v>36181.82751</v>
      </c>
      <c r="E9" s="68">
        <f>'ABSOLUTE CEILING'!I17</f>
        <v>26181.82751</v>
      </c>
      <c r="F9" s="69">
        <f>'ABSOLUTE CEILING'!J17</f>
        <v>2.618182751</v>
      </c>
      <c r="G9" s="67" t="s">
        <v>311</v>
      </c>
      <c r="H9" s="67" t="s">
        <v>312</v>
      </c>
      <c r="I9" s="67" t="s">
        <v>313</v>
      </c>
    </row>
    <row r="11">
      <c r="A11" s="70"/>
    </row>
    <row r="12">
      <c r="A12" s="71" t="s">
        <v>314</v>
      </c>
    </row>
    <row r="13">
      <c r="A13" s="72" t="s">
        <v>315</v>
      </c>
    </row>
    <row r="14">
      <c r="A14" s="72" t="s">
        <v>316</v>
      </c>
    </row>
    <row r="15">
      <c r="A15" s="72" t="s">
        <v>317</v>
      </c>
    </row>
    <row r="16">
      <c r="A16" s="72" t="s">
        <v>318</v>
      </c>
    </row>
    <row r="17">
      <c r="A17" s="70"/>
    </row>
    <row r="18">
      <c r="A18" s="71" t="s">
        <v>319</v>
      </c>
    </row>
    <row r="19">
      <c r="A19" s="72" t="s">
        <v>320</v>
      </c>
    </row>
    <row r="20">
      <c r="A20" s="72" t="s">
        <v>321</v>
      </c>
    </row>
    <row r="21" ht="15.75" customHeight="1">
      <c r="A21" s="72" t="s">
        <v>322</v>
      </c>
    </row>
    <row r="22" ht="15.75" customHeight="1">
      <c r="A22" s="72" t="s">
        <v>323</v>
      </c>
    </row>
    <row r="23" ht="15.75" customHeight="1">
      <c r="A23" s="70"/>
    </row>
    <row r="24" ht="15.75" customHeight="1">
      <c r="A24" s="72" t="s">
        <v>324</v>
      </c>
    </row>
    <row r="25" ht="15.75" customHeight="1">
      <c r="A25" s="73" t="s">
        <v>325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I1"/>
    <mergeCell ref="A11:I11"/>
    <mergeCell ref="A12:I12"/>
    <mergeCell ref="A13:I13"/>
    <mergeCell ref="A14:I14"/>
    <mergeCell ref="A15:I15"/>
    <mergeCell ref="A16:I16"/>
    <mergeCell ref="A24:I24"/>
    <mergeCell ref="A25:I25"/>
    <mergeCell ref="A17:I17"/>
    <mergeCell ref="A18:I18"/>
    <mergeCell ref="A19:I19"/>
    <mergeCell ref="A20:I20"/>
    <mergeCell ref="A21:I21"/>
    <mergeCell ref="A22:I22"/>
    <mergeCell ref="A23:I23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B82F6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7.0"/>
    <col customWidth="1" min="3" max="3" width="35.0"/>
    <col customWidth="1" min="4" max="5" width="25.0"/>
    <col customWidth="1" min="6" max="6" width="6.0"/>
    <col customWidth="1" min="7" max="7" width="16.0"/>
    <col customWidth="1" min="8" max="8" width="14.0"/>
    <col customWidth="1" min="9" max="26" width="8.71"/>
  </cols>
  <sheetData>
    <row r="1">
      <c r="A1" s="1" t="s">
        <v>326</v>
      </c>
    </row>
    <row r="3">
      <c r="A3" s="4" t="s">
        <v>327</v>
      </c>
      <c r="B3" s="4" t="s">
        <v>3</v>
      </c>
      <c r="C3" s="4" t="s">
        <v>328</v>
      </c>
      <c r="D3" s="4" t="s">
        <v>329</v>
      </c>
      <c r="E3" s="4" t="s">
        <v>330</v>
      </c>
      <c r="F3" s="4" t="s">
        <v>16</v>
      </c>
      <c r="G3" s="4" t="s">
        <v>331</v>
      </c>
      <c r="H3" s="4" t="s">
        <v>332</v>
      </c>
    </row>
    <row r="4">
      <c r="A4" s="74" t="s">
        <v>333</v>
      </c>
      <c r="B4" s="74" t="s">
        <v>334</v>
      </c>
      <c r="C4" s="75" t="s">
        <v>335</v>
      </c>
      <c r="D4" s="75" t="s">
        <v>336</v>
      </c>
      <c r="E4" s="75" t="s">
        <v>337</v>
      </c>
      <c r="F4" s="75" t="s">
        <v>338</v>
      </c>
      <c r="G4" s="75" t="s">
        <v>339</v>
      </c>
      <c r="H4" s="75" t="s">
        <v>340</v>
      </c>
    </row>
    <row r="5">
      <c r="A5" s="74" t="s">
        <v>341</v>
      </c>
      <c r="B5" s="74" t="s">
        <v>342</v>
      </c>
      <c r="C5" s="75" t="s">
        <v>343</v>
      </c>
      <c r="D5" s="75" t="s">
        <v>344</v>
      </c>
      <c r="E5" s="75" t="s">
        <v>345</v>
      </c>
      <c r="F5" s="75" t="s">
        <v>346</v>
      </c>
      <c r="G5" s="75" t="s">
        <v>339</v>
      </c>
      <c r="H5" s="75" t="s">
        <v>347</v>
      </c>
    </row>
    <row r="6">
      <c r="A6" s="74" t="s">
        <v>341</v>
      </c>
      <c r="B6" s="74" t="s">
        <v>348</v>
      </c>
      <c r="C6" s="75" t="s">
        <v>349</v>
      </c>
      <c r="D6" s="75" t="s">
        <v>350</v>
      </c>
      <c r="E6" s="75" t="s">
        <v>351</v>
      </c>
      <c r="F6" s="75" t="s">
        <v>338</v>
      </c>
      <c r="G6" s="75" t="s">
        <v>339</v>
      </c>
      <c r="H6" s="75" t="s">
        <v>340</v>
      </c>
    </row>
    <row r="7">
      <c r="A7" s="74" t="s">
        <v>352</v>
      </c>
      <c r="B7" s="74" t="s">
        <v>51</v>
      </c>
      <c r="C7" s="75" t="s">
        <v>353</v>
      </c>
      <c r="D7" s="75" t="s">
        <v>354</v>
      </c>
      <c r="E7" s="75" t="s">
        <v>355</v>
      </c>
      <c r="F7" s="75" t="s">
        <v>356</v>
      </c>
      <c r="G7" s="75" t="s">
        <v>357</v>
      </c>
      <c r="H7" s="75" t="s">
        <v>358</v>
      </c>
    </row>
    <row r="8">
      <c r="A8" s="74" t="s">
        <v>359</v>
      </c>
      <c r="B8" s="74" t="s">
        <v>51</v>
      </c>
      <c r="C8" s="75" t="s">
        <v>360</v>
      </c>
      <c r="D8" s="75" t="s">
        <v>361</v>
      </c>
      <c r="E8" s="75" t="s">
        <v>362</v>
      </c>
      <c r="F8" s="75" t="s">
        <v>363</v>
      </c>
      <c r="G8" s="75" t="s">
        <v>364</v>
      </c>
      <c r="H8" s="75" t="s">
        <v>347</v>
      </c>
    </row>
    <row r="9">
      <c r="A9" s="74" t="s">
        <v>365</v>
      </c>
      <c r="B9" s="74" t="s">
        <v>51</v>
      </c>
      <c r="C9" s="75" t="s">
        <v>366</v>
      </c>
      <c r="D9" s="75" t="s">
        <v>367</v>
      </c>
      <c r="E9" s="75" t="s">
        <v>161</v>
      </c>
      <c r="F9" s="75" t="s">
        <v>363</v>
      </c>
      <c r="G9" s="75" t="s">
        <v>368</v>
      </c>
      <c r="H9" s="75" t="s">
        <v>340</v>
      </c>
    </row>
    <row r="10">
      <c r="A10" s="74" t="s">
        <v>369</v>
      </c>
      <c r="B10" s="74" t="s">
        <v>370</v>
      </c>
      <c r="C10" s="75" t="s">
        <v>371</v>
      </c>
      <c r="D10" s="75" t="s">
        <v>372</v>
      </c>
      <c r="E10" s="75" t="s">
        <v>373</v>
      </c>
      <c r="F10" s="75" t="s">
        <v>374</v>
      </c>
      <c r="G10" s="75" t="s">
        <v>375</v>
      </c>
      <c r="H10" s="75" t="s">
        <v>347</v>
      </c>
    </row>
    <row r="11">
      <c r="A11" s="74" t="s">
        <v>376</v>
      </c>
      <c r="B11" s="74" t="s">
        <v>25</v>
      </c>
      <c r="C11" s="75" t="s">
        <v>377</v>
      </c>
      <c r="D11" s="75" t="s">
        <v>378</v>
      </c>
      <c r="E11" s="75" t="s">
        <v>379</v>
      </c>
      <c r="F11" s="75" t="s">
        <v>380</v>
      </c>
      <c r="G11" s="75" t="s">
        <v>381</v>
      </c>
      <c r="H11" s="75" t="s">
        <v>347</v>
      </c>
    </row>
    <row r="12">
      <c r="A12" s="74" t="s">
        <v>376</v>
      </c>
      <c r="B12" s="74" t="s">
        <v>51</v>
      </c>
      <c r="C12" s="75" t="s">
        <v>382</v>
      </c>
      <c r="D12" s="75" t="s">
        <v>383</v>
      </c>
      <c r="E12" s="75" t="s">
        <v>384</v>
      </c>
      <c r="F12" s="75" t="s">
        <v>385</v>
      </c>
      <c r="G12" s="75" t="s">
        <v>386</v>
      </c>
      <c r="H12" s="75" t="s">
        <v>347</v>
      </c>
    </row>
    <row r="13">
      <c r="A13" s="74" t="s">
        <v>387</v>
      </c>
      <c r="B13" s="74" t="s">
        <v>40</v>
      </c>
      <c r="C13" s="75" t="s">
        <v>388</v>
      </c>
      <c r="D13" s="75" t="s">
        <v>389</v>
      </c>
      <c r="E13" s="75" t="s">
        <v>390</v>
      </c>
      <c r="F13" s="75" t="s">
        <v>346</v>
      </c>
      <c r="G13" s="75" t="s">
        <v>391</v>
      </c>
      <c r="H13" s="75" t="s">
        <v>392</v>
      </c>
    </row>
    <row r="14">
      <c r="A14" s="74" t="s">
        <v>387</v>
      </c>
      <c r="B14" s="74" t="s">
        <v>72</v>
      </c>
      <c r="C14" s="75" t="s">
        <v>393</v>
      </c>
      <c r="D14" s="75" t="s">
        <v>394</v>
      </c>
      <c r="E14" s="75" t="s">
        <v>395</v>
      </c>
      <c r="F14" s="75" t="s">
        <v>396</v>
      </c>
      <c r="G14" s="75" t="s">
        <v>391</v>
      </c>
      <c r="H14" s="75" t="s">
        <v>392</v>
      </c>
    </row>
    <row r="15">
      <c r="A15" s="74" t="s">
        <v>387</v>
      </c>
      <c r="B15" s="74" t="s">
        <v>63</v>
      </c>
      <c r="C15" s="75" t="s">
        <v>397</v>
      </c>
      <c r="D15" s="75" t="s">
        <v>398</v>
      </c>
      <c r="E15" s="75" t="s">
        <v>399</v>
      </c>
      <c r="F15" s="75" t="s">
        <v>400</v>
      </c>
      <c r="G15" s="75" t="s">
        <v>401</v>
      </c>
      <c r="H15" s="75" t="s">
        <v>392</v>
      </c>
    </row>
    <row r="16">
      <c r="A16" s="74" t="s">
        <v>387</v>
      </c>
      <c r="B16" s="74" t="s">
        <v>81</v>
      </c>
      <c r="C16" s="75" t="s">
        <v>402</v>
      </c>
      <c r="D16" s="75" t="s">
        <v>403</v>
      </c>
      <c r="E16" s="75" t="s">
        <v>404</v>
      </c>
      <c r="F16" s="75" t="s">
        <v>374</v>
      </c>
      <c r="G16" s="75" t="s">
        <v>401</v>
      </c>
      <c r="H16" s="75" t="s">
        <v>347</v>
      </c>
    </row>
    <row r="17">
      <c r="A17" s="74" t="s">
        <v>387</v>
      </c>
      <c r="B17" s="74" t="s">
        <v>92</v>
      </c>
      <c r="C17" s="75" t="s">
        <v>405</v>
      </c>
      <c r="D17" s="75" t="s">
        <v>406</v>
      </c>
      <c r="E17" s="75" t="s">
        <v>407</v>
      </c>
      <c r="F17" s="75" t="s">
        <v>408</v>
      </c>
      <c r="G17" s="75" t="s">
        <v>401</v>
      </c>
      <c r="H17" s="75" t="s">
        <v>347</v>
      </c>
    </row>
    <row r="18">
      <c r="A18" s="74" t="s">
        <v>409</v>
      </c>
      <c r="B18" s="74" t="s">
        <v>113</v>
      </c>
      <c r="C18" s="75" t="s">
        <v>410</v>
      </c>
      <c r="D18" s="75" t="s">
        <v>411</v>
      </c>
      <c r="E18" s="75" t="s">
        <v>412</v>
      </c>
      <c r="F18" s="75" t="s">
        <v>413</v>
      </c>
      <c r="G18" s="75" t="s">
        <v>414</v>
      </c>
      <c r="H18" s="75" t="s">
        <v>347</v>
      </c>
    </row>
    <row r="19">
      <c r="A19" s="74" t="s">
        <v>415</v>
      </c>
      <c r="B19" s="74" t="s">
        <v>334</v>
      </c>
      <c r="C19" s="75" t="s">
        <v>416</v>
      </c>
      <c r="D19" s="75" t="s">
        <v>417</v>
      </c>
      <c r="E19" s="75" t="s">
        <v>418</v>
      </c>
      <c r="F19" s="75" t="s">
        <v>413</v>
      </c>
      <c r="G19" s="75" t="s">
        <v>419</v>
      </c>
      <c r="H19" s="75" t="s">
        <v>420</v>
      </c>
    </row>
    <row r="20">
      <c r="A20" s="74" t="s">
        <v>421</v>
      </c>
      <c r="B20" s="74" t="s">
        <v>334</v>
      </c>
      <c r="C20" s="75" t="s">
        <v>422</v>
      </c>
      <c r="D20" s="75" t="s">
        <v>423</v>
      </c>
      <c r="E20" s="75" t="s">
        <v>424</v>
      </c>
      <c r="F20" s="75" t="s">
        <v>161</v>
      </c>
      <c r="G20" s="75" t="s">
        <v>425</v>
      </c>
      <c r="H20" s="75" t="s">
        <v>426</v>
      </c>
    </row>
    <row r="21" ht="15.75" customHeight="1">
      <c r="A21" s="74" t="s">
        <v>427</v>
      </c>
      <c r="B21" s="74" t="s">
        <v>40</v>
      </c>
      <c r="C21" s="75" t="s">
        <v>428</v>
      </c>
      <c r="D21" s="75" t="s">
        <v>429</v>
      </c>
      <c r="E21" s="75" t="s">
        <v>161</v>
      </c>
      <c r="F21" s="75" t="s">
        <v>161</v>
      </c>
      <c r="G21" s="75" t="s">
        <v>430</v>
      </c>
      <c r="H21" s="75" t="s">
        <v>431</v>
      </c>
    </row>
    <row r="22" ht="15.75" customHeight="1">
      <c r="A22" s="74" t="s">
        <v>427</v>
      </c>
      <c r="B22" s="74" t="s">
        <v>123</v>
      </c>
      <c r="C22" s="75" t="s">
        <v>432</v>
      </c>
      <c r="D22" s="75" t="s">
        <v>433</v>
      </c>
      <c r="E22" s="75" t="s">
        <v>161</v>
      </c>
      <c r="F22" s="75" t="s">
        <v>434</v>
      </c>
      <c r="G22" s="75" t="s">
        <v>435</v>
      </c>
      <c r="H22" s="75" t="s">
        <v>347</v>
      </c>
    </row>
    <row r="23" ht="15.75" customHeight="1">
      <c r="A23" s="74" t="s">
        <v>427</v>
      </c>
      <c r="B23" s="74" t="s">
        <v>334</v>
      </c>
      <c r="C23" s="75" t="s">
        <v>436</v>
      </c>
      <c r="D23" s="75" t="s">
        <v>437</v>
      </c>
      <c r="E23" s="75" t="s">
        <v>161</v>
      </c>
      <c r="F23" s="75" t="s">
        <v>413</v>
      </c>
      <c r="G23" s="75" t="s">
        <v>438</v>
      </c>
      <c r="H23" s="75" t="s">
        <v>439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9488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25.0"/>
    <col customWidth="1" min="4" max="4" width="35.0"/>
    <col customWidth="1" min="5" max="26" width="8.71"/>
  </cols>
  <sheetData>
    <row r="1">
      <c r="A1" s="1" t="s">
        <v>440</v>
      </c>
    </row>
    <row r="3">
      <c r="A3" s="4" t="s">
        <v>441</v>
      </c>
      <c r="B3" s="4" t="s">
        <v>442</v>
      </c>
      <c r="C3" s="4" t="s">
        <v>443</v>
      </c>
      <c r="D3" s="4" t="s">
        <v>444</v>
      </c>
    </row>
    <row r="4">
      <c r="A4" s="74" t="s">
        <v>445</v>
      </c>
      <c r="B4" s="76" t="s">
        <v>446</v>
      </c>
      <c r="C4" s="76" t="s">
        <v>447</v>
      </c>
      <c r="D4" s="76" t="s">
        <v>448</v>
      </c>
    </row>
    <row r="5">
      <c r="A5" s="74" t="s">
        <v>392</v>
      </c>
      <c r="B5" s="76" t="s">
        <v>449</v>
      </c>
      <c r="C5" s="76" t="s">
        <v>450</v>
      </c>
      <c r="D5" s="76" t="s">
        <v>451</v>
      </c>
    </row>
    <row r="6">
      <c r="A6" s="74" t="s">
        <v>439</v>
      </c>
      <c r="B6" s="76" t="s">
        <v>452</v>
      </c>
      <c r="C6" s="76" t="s">
        <v>453</v>
      </c>
      <c r="D6" s="76" t="s">
        <v>454</v>
      </c>
    </row>
    <row r="7">
      <c r="A7" s="74" t="s">
        <v>455</v>
      </c>
      <c r="B7" s="76" t="s">
        <v>456</v>
      </c>
      <c r="C7" s="76" t="s">
        <v>457</v>
      </c>
      <c r="D7" s="76" t="s">
        <v>458</v>
      </c>
    </row>
    <row r="8">
      <c r="A8" s="74" t="s">
        <v>459</v>
      </c>
      <c r="B8" s="76" t="s">
        <v>460</v>
      </c>
      <c r="C8" s="76" t="s">
        <v>461</v>
      </c>
      <c r="D8" s="76" t="s">
        <v>462</v>
      </c>
    </row>
    <row r="9">
      <c r="A9" s="74" t="s">
        <v>463</v>
      </c>
      <c r="B9" s="76" t="s">
        <v>464</v>
      </c>
      <c r="C9" s="76" t="s">
        <v>465</v>
      </c>
      <c r="D9" s="76" t="s">
        <v>466</v>
      </c>
    </row>
    <row r="11">
      <c r="A11" s="77" t="s">
        <v>467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11:D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2026-03-31T18:39:57Z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