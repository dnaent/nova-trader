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🛡️ DEFENSIVE SPECULATIVE" sheetId="1" r:id="rId4"/>
    <sheet state="visible" name="⚡ AGGRESSIVE SPECULATIVE" sheetId="2" r:id="rId5"/>
    <sheet state="visible" name="📊 COMPARISON DASHBOARD" sheetId="3" r:id="rId6"/>
  </sheets>
  <definedNames/>
  <calcPr/>
  <extLst>
    <ext uri="GoogleSheetsCustomDataVersion2">
      <go:sheetsCustomData xmlns:go="http://customooxmlschemas.google.com/" r:id="rId7" roundtripDataChecksum="S+d/+3sRJYazBbRQKYAhgDuT5Z/E9/Orhulkzn5gsHg="/>
    </ext>
  </extLst>
</workbook>
</file>

<file path=xl/sharedStrings.xml><?xml version="1.0" encoding="utf-8"?>
<sst xmlns="http://schemas.openxmlformats.org/spreadsheetml/2006/main" count="271" uniqueCount="185">
  <si>
    <t>⚡  🛡️ DEFENSIVE SPECULATIVE  |  DNA Entertainment Capital Allocation Matrix  |  March 19, 2026</t>
  </si>
  <si>
    <t>🎯 Strategy Focus</t>
  </si>
  <si>
    <t>📊 Risk / Return Framework</t>
  </si>
  <si>
    <t>💰 Total Deployment</t>
  </si>
  <si>
    <t>📅 Catalyst Calendar — Key Dates Drive Everything</t>
  </si>
  <si>
    <t>5 Positions</t>
  </si>
  <si>
    <t>Brent ~$94/bbl  ⬆️</t>
  </si>
  <si>
    <t>Defensively Positioned Speculative</t>
  </si>
  <si>
    <t>⚠️ Not financial advice. All investments carry risk of capital loss.</t>
  </si>
  <si>
    <t xml:space="preserve">  🔑  RISK: LOW  |  MEDIUM  |  MEDIUM-HIGH  |  HIGH  |  VERY HIGH        CONVICTION: 8-10 High  |  5-7 Medium  |  1-4 Low        BLUE TEXT = Input  |  BLACK = Formula</t>
  </si>
  <si>
    <t>Ticker</t>
  </si>
  <si>
    <t>Company</t>
  </si>
  <si>
    <t>Strategy</t>
  </si>
  <si>
    <t>Current
Price</t>
  </si>
  <si>
    <t>Today
%</t>
  </si>
  <si>
    <t>Analyst
Target</t>
  </si>
  <si>
    <t>Upside
Potential</t>
  </si>
  <si>
    <t>Stop
Loss</t>
  </si>
  <si>
    <t>£ Allocation</t>
  </si>
  <si>
    <t>Approx
Shares</t>
  </si>
  <si>
    <t>Catalyst 1</t>
  </si>
  <si>
    <t>Catalyst 1
Date</t>
  </si>
  <si>
    <t>Catalyst 2</t>
  </si>
  <si>
    <t>Catalyst 2
Date</t>
  </si>
  <si>
    <t>Catalyst 3</t>
  </si>
  <si>
    <t>Catalyst 3
Date</t>
  </si>
  <si>
    <t>Risk
Rating</t>
  </si>
  <si>
    <t>Conviction
/10</t>
  </si>
  <si>
    <t>Action</t>
  </si>
  <si>
    <t>Notes / Key Risk</t>
  </si>
  <si>
    <t>AET</t>
  </si>
  <si>
    <t>Afentra plc</t>
  </si>
  <si>
    <t>CORE</t>
  </si>
  <si>
    <t>+12.1%</t>
  </si>
  <si>
    <t>Formal sale process live — Jefferies appointed, offer period open</t>
  </si>
  <si>
    <t>Mar 2026</t>
  </si>
  <si>
    <t>Etu Energias acquisition completes — boosts asset base pre-sale</t>
  </si>
  <si>
    <t>Q2 2026</t>
  </si>
  <si>
    <t>Firm takeover bid (Rule 2.7) announcement from shortlisted bidder</t>
  </si>
  <si>
    <t>May–Jun 2026</t>
  </si>
  <si>
    <t>MEDIUM</t>
  </si>
  <si>
    <t>STRONG BUY</t>
  </si>
  <si>
    <t>Takeover premium expected 20–50%+. Downside floor ~60p on fundamentals. Oil spike maximises acquirer valuation window. HOLD through bid.</t>
  </si>
  <si>
    <t>KOS</t>
  </si>
  <si>
    <t>Kosmos Energy</t>
  </si>
  <si>
    <t>+24.1%</t>
  </si>
  <si>
    <t>Ghana Jubilee &amp; TEN licences extended to 2040 — parliamentary approved</t>
  </si>
  <si>
    <t>Completed Mar 2026</t>
  </si>
  <si>
    <t>GTA LNG production ramp — cargo liftings nearly doubling in 2026</t>
  </si>
  <si>
    <t>H1 2026</t>
  </si>
  <si>
    <t>Debt facility repaid via $185M equity offering — balance sheet cleanse</t>
  </si>
  <si>
    <t>MEDIUM-HIGH</t>
  </si>
  <si>
    <t>BUY</t>
  </si>
  <si>
    <t>DCF intrinsic ~$6.87 vs ~$2.09 current. Debt/equity 5.74x is key risk. CFO buying shares. 15% production growth target 2026.</t>
  </si>
  <si>
    <t>GKP</t>
  </si>
  <si>
    <t>Gulf Keystone</t>
  </si>
  <si>
    <t>+17.4%</t>
  </si>
  <si>
    <t>FY2025 results released — 46% EBITDA growth, $89M net cash</t>
  </si>
  <si>
    <t>19 Mar 2026</t>
  </si>
  <si>
    <t>Kurdistan export restart + production shut-in ends (security catalyst)</t>
  </si>
  <si>
    <t>$12.5M interim dividend payable to shareholders</t>
  </si>
  <si>
    <t>27 Apr 2026</t>
  </si>
  <si>
    <t>Debt-free with $89M cash. Production shut-in since Feb 28 on security fears. Restart = significant re-rate. 2026 guidance suspended pending restart.</t>
  </si>
  <si>
    <t>RKH</t>
  </si>
  <si>
    <t>Rockhopper Expl.</t>
  </si>
  <si>
    <t>GROWTH</t>
  </si>
  <si>
    <t>+9.9%</t>
  </si>
  <si>
    <t>Sea Lion FID confirmed Dec 2025 — financial close completed</t>
  </si>
  <si>
    <t>Jan 2026</t>
  </si>
  <si>
    <t>Navitas operator updates on Phase 1 capex ($1.4B) &amp; drilling schedule</t>
  </si>
  <si>
    <t>Q2–Q3 2026</t>
  </si>
  <si>
    <t>First equity/debt milestones for Sea Lion Phase 1 development</t>
  </si>
  <si>
    <t>H2 2026</t>
  </si>
  <si>
    <t>HOLD</t>
  </si>
  <si>
    <t>517 mmbbl resource. 312% share price rise past year. Long-dated development risk but de-risked by FID. Analyst target 97p (+35%). No production revenue yet.</t>
  </si>
  <si>
    <t>JSE</t>
  </si>
  <si>
    <t>Jadestone Energy</t>
  </si>
  <si>
    <t>+4.9%</t>
  </si>
  <si>
    <t>Vietnam FDP (Field Development Plan) government approval</t>
  </si>
  <si>
    <t>PM323 infill drilling campaign in Malaysia — 2 MMbbls net to JSE</t>
  </si>
  <si>
    <t>RBL facility refinancing — unlocks cash flow for growth</t>
  </si>
  <si>
    <t>Mid-2026</t>
  </si>
  <si>
    <t>94% upside to analyst target 54p. Production up 73% 2022–25. Vietnam FDP = reserve booking + farm-out discussions. Asia-Pacific independent with 6 producing fields.</t>
  </si>
  <si>
    <t>💰  TOTAL DEPLOYED</t>
  </si>
  <si>
    <t>Avg Conviction: =AVERAGE(R8:R12)  |  Positions: 5</t>
  </si>
  <si>
    <t>Remaining Cash: =10000-I13</t>
  </si>
  <si>
    <t>phyd</t>
  </si>
  <si>
    <t>⚡  ⚡ AGGRESSIVE SPECULATIVE  |  DNA Entertainment Capital Allocation Matrix  |  March 19, 2026</t>
  </si>
  <si>
    <t>6 Positions</t>
  </si>
  <si>
    <t>Aggressively Positioned Speculative</t>
  </si>
  <si>
    <t>MOMENTUM</t>
  </si>
  <si>
    <t>Formal sale process — firm offer (Rule 2.7) announcement</t>
  </si>
  <si>
    <t>Angolan Presidential Decree approval of any acquisition</t>
  </si>
  <si>
    <t>Aug–Sep 2026</t>
  </si>
  <si>
    <t>Potential competing bid — multiple suitors identified by Jefferies</t>
  </si>
  <si>
    <t>Jun 2026</t>
  </si>
  <si>
    <t>High-end analyst target 143p = 99% upside from 72p. Competing bid scenario adds further premium. Geopolitical oil spike inflates asset valuation. Best near-term binary event.</t>
  </si>
  <si>
    <t>GTA LNG cargo liftings double in 2026 — step-change in cash flow</t>
  </si>
  <si>
    <t>Equatorial Guinea asset sale ($180M+) to Panoro — debt reduction</t>
  </si>
  <si>
    <t>TEN FPSO acquisition ($205M gross) reduces long-term opex</t>
  </si>
  <si>
    <t>HIGH</t>
  </si>
  <si>
    <t>69.6% discount to intrinsic value. Highly leveraged (5.74x D/E) — debt paydown is the catalyst for a major re-rate. 134% YTD return already. Asymmetric upside if LNG ramp delivers.</t>
  </si>
  <si>
    <t>PANR</t>
  </si>
  <si>
    <t>Pantheon Resources</t>
  </si>
  <si>
    <t>SPECULATIVE</t>
  </si>
  <si>
    <t>-14.6%</t>
  </si>
  <si>
    <t>Dubhe-1 well clean-up and flow test results on Alaska North Slope</t>
  </si>
  <si>
    <t>Q1–Q2 2026</t>
  </si>
  <si>
    <t>Farm-out / partner deal announcement for Kodiak/Ahpun fields</t>
  </si>
  <si>
    <t>New board (Michael Spencer chairman) announces strategic reset plan</t>
  </si>
  <si>
    <t>Apr 2026 AGM</t>
  </si>
  <si>
    <t>VERY HIGH</t>
  </si>
  <si>
    <t>SPECULATIVE BUY</t>
  </si>
  <si>
    <t>Down from 73p to 10p — 85% drawn. Analyst target 30p = 200% upside. Management overhaul completed. Farm-in is binary — success could re-rate 5–10x. 1.6 billion barrels resource on ANS. Cash sufficient to year-end 2026.</t>
  </si>
  <si>
    <t>Navitas Petroleum Sea Lion Phase 1 funding milestones</t>
  </si>
  <si>
    <t>First drill programme confirmation post-FID for Sea Lion</t>
  </si>
  <si>
    <t>Potential farm-down or JV announcement on Falkland acreage</t>
  </si>
  <si>
    <t>2026</t>
  </si>
  <si>
    <t>High estimate 113p = 57% upside from 72p. FID gives Sea Lion real momentum. Falklands sovereignty risk (Argentina) is overhang but manageable. Strong speculative case.</t>
  </si>
  <si>
    <t>BOR</t>
  </si>
  <si>
    <t>Borders &amp; Southern</t>
  </si>
  <si>
    <t>HIGH-RISK</t>
  </si>
  <si>
    <t>-6.4%</t>
  </si>
  <si>
    <t>Farm-in partner announcement for Darwin gas condensate project</t>
  </si>
  <si>
    <t>Falkland Islands licence renewal (current licences expire end-2026)</t>
  </si>
  <si>
    <t>Dec 2026</t>
  </si>
  <si>
    <t>FID on Darwin if farm-in secured — 70,000 bopd peak potential</t>
  </si>
  <si>
    <t>Only $2M cash — runway to mid-2026. Darwin: 46–49 API condensate, 30% porosity, 2-year payback at $60 oil. Major farm-in = explosive re-rate. Binary: partner = 5–10x, no partner = dilution/wind-down.</t>
  </si>
  <si>
    <t>88E</t>
  </si>
  <si>
    <t>88 Energy</t>
  </si>
  <si>
    <t>-7.5%</t>
  </si>
  <si>
    <t>Project Leonis Alaska — new lease blocks adjacent to existing acreage</t>
  </si>
  <si>
    <t>Completed</t>
  </si>
  <si>
    <t>Namibia PEL 93 — 10 new exploration targets identified from seismic</t>
  </si>
  <si>
    <t>Alaska exploration drilling programme update / partner announcement</t>
  </si>
  <si>
    <t>Sub-penny stock. Pre-revenue explorer. New Namibia targets + Alaska expansion. Needs a partner or farm-in. High risk of dilutive raises. Only hold if comfortable with full loss scenario.</t>
  </si>
  <si>
    <t>Avg Conviction: =AVERAGE(R8:R13)  |  Positions: 6</t>
  </si>
  <si>
    <t>Remaining Cash: =10000-I14</t>
  </si>
  <si>
    <t>📊  STRATEGY COMPARISON DASHBOARD  |  DNA Entertainment  |  £10,000 Capital Deployment</t>
  </si>
  <si>
    <t>Metric</t>
  </si>
  <si>
    <t>🛡️ Defensive</t>
  </si>
  <si>
    <t>⚡ Aggressive</t>
  </si>
  <si>
    <t>Difference</t>
  </si>
  <si>
    <t>Advantage</t>
  </si>
  <si>
    <t>Total Positions</t>
  </si>
  <si>
    <t>5</t>
  </si>
  <si>
    <t>6</t>
  </si>
  <si>
    <t>Aggressive (wider spread)</t>
  </si>
  <si>
    <t>Total £ Deployed</t>
  </si>
  <si>
    <t>Remaining Cash</t>
  </si>
  <si>
    <t>Avg Position Size</t>
  </si>
  <si>
    <t>Defensive (concentrated)</t>
  </si>
  <si>
    <t>Avg Conviction Score</t>
  </si>
  <si>
    <t>Highest Conviction Pick</t>
  </si>
  <si>
    <t>AET — Afentra</t>
  </si>
  <si>
    <t>—</t>
  </si>
  <si>
    <t>Both agree</t>
  </si>
  <si>
    <t>Earliest Catalyst</t>
  </si>
  <si>
    <t>GKP Dividend (27 Apr)</t>
  </si>
  <si>
    <t>AET Firm Offer (May–Jun)</t>
  </si>
  <si>
    <t>Defensive</t>
  </si>
  <si>
    <t>Peak Catalyst Window</t>
  </si>
  <si>
    <t>May–Aug 2026</t>
  </si>
  <si>
    <t>May–Sep 2026</t>
  </si>
  <si>
    <t>Similar</t>
  </si>
  <si>
    <t>Biggest Upside Position</t>
  </si>
  <si>
    <t>KOS (~160% to target)</t>
  </si>
  <si>
    <t>PANR (~200% to target)</t>
  </si>
  <si>
    <t>Aggressive</t>
  </si>
  <si>
    <t>Biggest Risk Position</t>
  </si>
  <si>
    <t>RKH (Sea Lion execution)</t>
  </si>
  <si>
    <t>BOR (cash runway mid-2026)</t>
  </si>
  <si>
    <t>Stop-Loss Coverage</t>
  </si>
  <si>
    <t>Broad — all positions have stops</t>
  </si>
  <si>
    <t>Tight — BOR/88E near zero</t>
  </si>
  <si>
    <t>Oil Price Dependency</t>
  </si>
  <si>
    <t>HIGH — all O&amp;G plays</t>
  </si>
  <si>
    <t>VERY HIGH — plus frontier E&amp;P</t>
  </si>
  <si>
    <t>Est. Portfolio Max Upside*</t>
  </si>
  <si>
    <t>~70–110% blended</t>
  </si>
  <si>
    <t>~150–250% blended (binary)</t>
  </si>
  <si>
    <t>Est. Max Drawdown Risk</t>
  </si>
  <si>
    <t>~25–35%</t>
  </si>
  <si>
    <t>~50–75%</t>
  </si>
  <si>
    <t>⚠️  * Estimated blended upside based on analyst targets. Not financial advice. All positions carry risk of total loss. Consult a qualified financial advisor.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</si>
</sst>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£#,##0"/>
    <numFmt numFmtId="165" formatCode="£#,##0.00"/>
    <numFmt numFmtId="166" formatCode="0.0%"/>
  </numFmts>
  <fonts count="23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10.0"/>
      <color theme="1"/>
      <name val="Calibri"/>
      <scheme val="minor"/>
    </font>
    <font>
      <b/>
      <sz val="10.0"/>
      <color rgb="FF39D353"/>
      <name val="Arial"/>
    </font>
    <font>
      <b/>
      <sz val="10.0"/>
      <color rgb="FFF0C040"/>
      <name val="Arial"/>
    </font>
    <font>
      <i/>
      <sz val="10.0"/>
      <color rgb="FFF0C040"/>
      <name val="Arial"/>
    </font>
    <font>
      <sz val="10.0"/>
      <color rgb="FF58A6FF"/>
      <name val="Arial"/>
    </font>
    <font>
      <sz val="10.0"/>
      <color rgb="FFF0C040"/>
      <name val="Arial"/>
    </font>
    <font>
      <sz val="10.0"/>
      <color rgb="FFFF6B6B"/>
      <name val="Arial"/>
    </font>
    <font>
      <sz val="10.0"/>
      <color rgb="FFFFFFFF"/>
      <name val="Arial"/>
    </font>
    <font>
      <i/>
      <sz val="10.0"/>
      <color rgb="FFFFFFFF"/>
      <name val="Arial"/>
    </font>
    <font>
      <b/>
      <sz val="10.0"/>
      <color rgb="FF58A6FF"/>
      <name val="Arial"/>
    </font>
    <font>
      <b/>
      <sz val="10.0"/>
      <color rgb="FFFFBB33"/>
      <name val="Arial"/>
    </font>
    <font>
      <i/>
      <sz val="10.0"/>
      <color rgb="FFAAAAAA"/>
      <name val="Arial"/>
    </font>
    <font>
      <b/>
      <sz val="10.0"/>
      <color rgb="FFFF8800"/>
      <name val="Arial"/>
    </font>
    <font>
      <b/>
      <sz val="10.0"/>
      <color rgb="FFFF6B6B"/>
      <name val="Arial"/>
    </font>
    <font>
      <b/>
      <sz val="10.0"/>
      <color rgb="FFFF0000"/>
      <name val="Arial"/>
    </font>
    <font>
      <b/>
      <sz val="10.0"/>
      <color rgb="FFFF4444"/>
      <name val="Arial"/>
    </font>
    <font>
      <b/>
      <sz val="14.0"/>
      <color rgb="FFFFFFFF"/>
      <name val="Arial"/>
    </font>
    <font>
      <sz val="10.0"/>
      <color rgb="FF39D353"/>
      <name val="Arial"/>
    </font>
    <font>
      <i/>
      <sz val="9.0"/>
      <color rgb="FFAAAAAA"/>
      <name val="Arial"/>
    </font>
    <font>
      <i/>
      <sz val="9.0"/>
      <color rgb="FF888888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4731"/>
        <bgColor rgb="FF1A4731"/>
      </patternFill>
    </fill>
    <fill>
      <patternFill patternType="solid">
        <fgColor rgb="FF161B22"/>
        <bgColor rgb="FF161B22"/>
      </patternFill>
    </fill>
    <fill>
      <patternFill patternType="solid">
        <fgColor rgb="FF0D1117"/>
        <bgColor rgb="FF0D1117"/>
      </patternFill>
    </fill>
    <fill>
      <patternFill patternType="solid">
        <fgColor rgb="FF1C2128"/>
        <bgColor rgb="FF1C2128"/>
      </patternFill>
    </fill>
    <fill>
      <patternFill patternType="solid">
        <fgColor rgb="FF3D3000"/>
        <bgColor rgb="FF3D3000"/>
      </patternFill>
    </fill>
    <fill>
      <patternFill patternType="solid">
        <fgColor rgb="FF0D3B1F"/>
        <bgColor rgb="FF0D3B1F"/>
      </patternFill>
    </fill>
    <fill>
      <patternFill patternType="solid">
        <fgColor rgb="FF22272E"/>
        <bgColor rgb="FF22272E"/>
      </patternFill>
    </fill>
    <fill>
      <patternFill patternType="solid">
        <fgColor rgb="FF4A2800"/>
        <bgColor rgb="FF4A2800"/>
      </patternFill>
    </fill>
    <fill>
      <patternFill patternType="solid">
        <fgColor rgb="FF4A1010"/>
        <bgColor rgb="FF4A1010"/>
      </patternFill>
    </fill>
    <fill>
      <patternFill patternType="solid">
        <fgColor rgb="FF3D0000"/>
        <bgColor rgb="FF3D0000"/>
      </patternFill>
    </fill>
    <fill>
      <patternFill patternType="solid">
        <fgColor rgb="FF3D1A00"/>
        <bgColor rgb="FF3D1A00"/>
      </patternFill>
    </fill>
  </fills>
  <borders count="16">
    <border/>
    <border>
      <left style="thin">
        <color rgb="FF39D353"/>
      </left>
      <top style="thin">
        <color rgb="FF39D353"/>
      </top>
      <bottom style="thin">
        <color rgb="FF39D353"/>
      </bottom>
    </border>
    <border>
      <top style="thin">
        <color rgb="FF39D353"/>
      </top>
      <bottom style="thin">
        <color rgb="FF39D353"/>
      </bottom>
    </border>
    <border>
      <right style="thin">
        <color rgb="FF39D353"/>
      </right>
      <top style="thin">
        <color rgb="FF39D353"/>
      </top>
      <bottom style="thin">
        <color rgb="FF39D353"/>
      </bottom>
    </border>
    <border>
      <left style="thin">
        <color rgb="FF30363D"/>
      </left>
      <top style="thin">
        <color rgb="FF30363D"/>
      </top>
      <bottom style="thin">
        <color rgb="FF30363D"/>
      </bottom>
    </border>
    <border>
      <top style="thin">
        <color rgb="FF30363D"/>
      </top>
      <bottom style="thin">
        <color rgb="FF30363D"/>
      </bottom>
    </border>
    <border>
      <right style="thin">
        <color rgb="FF30363D"/>
      </right>
      <top style="thin">
        <color rgb="FF30363D"/>
      </top>
      <bottom style="thin">
        <color rgb="FF30363D"/>
      </bottom>
    </border>
    <border>
      <left style="thin">
        <color rgb="FF39D353"/>
      </left>
      <right style="thin">
        <color rgb="FF39D353"/>
      </right>
      <top style="thin">
        <color rgb="FF39D353"/>
      </top>
      <bottom style="thin">
        <color rgb="FF39D353"/>
      </bottom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</border>
    <border>
      <left style="thin">
        <color rgb="FFFF6B6B"/>
      </left>
      <top style="thin">
        <color rgb="FFFF6B6B"/>
      </top>
      <bottom style="thin">
        <color rgb="FFFF6B6B"/>
      </bottom>
    </border>
    <border>
      <top style="thin">
        <color rgb="FFFF6B6B"/>
      </top>
      <bottom style="thin">
        <color rgb="FFFF6B6B"/>
      </bottom>
    </border>
    <border>
      <right style="thin">
        <color rgb="FFFF6B6B"/>
      </right>
      <top style="thin">
        <color rgb="FFFF6B6B"/>
      </top>
      <bottom style="thin">
        <color rgb="FFFF6B6B"/>
      </bottom>
    </border>
    <border>
      <left style="thin">
        <color rgb="FFFF6B6B"/>
      </left>
      <right style="thin">
        <color rgb="FFFF6B6B"/>
      </right>
      <top style="thin">
        <color rgb="FFFF6B6B"/>
      </top>
      <bottom style="thin">
        <color rgb="FFFF6B6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8" fillId="5" fontId="4" numFmtId="0" xfId="0" applyAlignment="1" applyBorder="1" applyFill="1" applyFont="1">
      <alignment horizontal="center" shrinkToFit="0" vertical="center" wrapText="1"/>
    </xf>
    <xf borderId="8" fillId="5" fontId="1" numFmtId="0" xfId="0" applyAlignment="1" applyBorder="1" applyFont="1">
      <alignment horizontal="left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8" fillId="5" fontId="7" numFmtId="165" xfId="0" applyAlignment="1" applyBorder="1" applyFont="1" applyNumberFormat="1">
      <alignment horizontal="right" vertical="center"/>
    </xf>
    <xf borderId="8" fillId="5" fontId="8" numFmtId="165" xfId="0" applyAlignment="1" applyBorder="1" applyFont="1" applyNumberFormat="1">
      <alignment horizontal="right" vertical="center"/>
    </xf>
    <xf borderId="8" fillId="5" fontId="4" numFmtId="166" xfId="0" applyAlignment="1" applyBorder="1" applyFont="1" applyNumberFormat="1">
      <alignment horizontal="center" shrinkToFit="0" vertical="center" wrapText="1"/>
    </xf>
    <xf borderId="8" fillId="5" fontId="9" numFmtId="165" xfId="0" applyAlignment="1" applyBorder="1" applyFont="1" applyNumberFormat="1">
      <alignment horizontal="right" vertical="center"/>
    </xf>
    <xf borderId="8" fillId="5" fontId="5" numFmtId="164" xfId="0" applyAlignment="1" applyBorder="1" applyFont="1" applyNumberFormat="1">
      <alignment horizontal="right" vertical="center"/>
    </xf>
    <xf borderId="8" fillId="5" fontId="10" numFmtId="3" xfId="0" applyAlignment="1" applyBorder="1" applyFont="1" applyNumberFormat="1">
      <alignment horizontal="center" shrinkToFit="0" vertical="center" wrapText="1"/>
    </xf>
    <xf borderId="8" fillId="5" fontId="11" numFmtId="0" xfId="0" applyAlignment="1" applyBorder="1" applyFont="1">
      <alignment horizontal="left" shrinkToFit="0" vertical="center" wrapText="1"/>
    </xf>
    <xf borderId="8" fillId="5" fontId="12" numFmtId="0" xfId="0" applyAlignment="1" applyBorder="1" applyFont="1">
      <alignment horizontal="center" shrinkToFit="0" vertical="center" wrapText="1"/>
    </xf>
    <xf borderId="8" fillId="6" fontId="13" numFmtId="0" xfId="0" applyAlignment="1" applyBorder="1" applyFill="1" applyFont="1">
      <alignment horizontal="center" shrinkToFit="0" vertical="center" wrapText="1"/>
    </xf>
    <xf borderId="8" fillId="7" fontId="4" numFmtId="0" xfId="0" applyAlignment="1" applyBorder="1" applyFill="1" applyFont="1">
      <alignment horizontal="center" shrinkToFit="0" vertical="center" wrapText="1"/>
    </xf>
    <xf borderId="8" fillId="5" fontId="14" numFmtId="0" xfId="0" applyAlignment="1" applyBorder="1" applyFont="1">
      <alignment horizontal="left" shrinkToFit="0" vertical="center" wrapText="1"/>
    </xf>
    <xf borderId="8" fillId="8" fontId="4" numFmtId="0" xfId="0" applyAlignment="1" applyBorder="1" applyFill="1" applyFont="1">
      <alignment horizontal="center" shrinkToFit="0" vertical="center" wrapText="1"/>
    </xf>
    <xf borderId="8" fillId="8" fontId="1" numFmtId="0" xfId="0" applyAlignment="1" applyBorder="1" applyFont="1">
      <alignment horizontal="left" shrinkToFit="0" vertical="center" wrapText="1"/>
    </xf>
    <xf borderId="8" fillId="8" fontId="5" numFmtId="0" xfId="0" applyAlignment="1" applyBorder="1" applyFont="1">
      <alignment horizontal="center" shrinkToFit="0" vertical="center" wrapText="1"/>
    </xf>
    <xf borderId="8" fillId="8" fontId="7" numFmtId="165" xfId="0" applyAlignment="1" applyBorder="1" applyFont="1" applyNumberFormat="1">
      <alignment horizontal="right" vertical="center"/>
    </xf>
    <xf borderId="8" fillId="8" fontId="8" numFmtId="165" xfId="0" applyAlignment="1" applyBorder="1" applyFont="1" applyNumberFormat="1">
      <alignment horizontal="right" vertical="center"/>
    </xf>
    <xf borderId="8" fillId="8" fontId="4" numFmtId="166" xfId="0" applyAlignment="1" applyBorder="1" applyFont="1" applyNumberFormat="1">
      <alignment horizontal="center" shrinkToFit="0" vertical="center" wrapText="1"/>
    </xf>
    <xf borderId="8" fillId="8" fontId="9" numFmtId="165" xfId="0" applyAlignment="1" applyBorder="1" applyFont="1" applyNumberFormat="1">
      <alignment horizontal="right" vertical="center"/>
    </xf>
    <xf borderId="8" fillId="8" fontId="5" numFmtId="164" xfId="0" applyAlignment="1" applyBorder="1" applyFont="1" applyNumberFormat="1">
      <alignment horizontal="right" vertical="center"/>
    </xf>
    <xf borderId="8" fillId="8" fontId="10" numFmtId="3" xfId="0" applyAlignment="1" applyBorder="1" applyFont="1" applyNumberFormat="1">
      <alignment horizontal="center" shrinkToFit="0" vertical="center" wrapText="1"/>
    </xf>
    <xf borderId="8" fillId="8" fontId="11" numFmtId="0" xfId="0" applyAlignment="1" applyBorder="1" applyFont="1">
      <alignment horizontal="left" shrinkToFit="0" vertical="center" wrapText="1"/>
    </xf>
    <xf borderId="8" fillId="8" fontId="12" numFmtId="0" xfId="0" applyAlignment="1" applyBorder="1" applyFont="1">
      <alignment horizontal="center" shrinkToFit="0" vertical="center" wrapText="1"/>
    </xf>
    <xf borderId="8" fillId="9" fontId="15" numFmtId="0" xfId="0" applyAlignment="1" applyBorder="1" applyFill="1" applyFont="1">
      <alignment horizontal="center" shrinkToFit="0" vertical="center" wrapText="1"/>
    </xf>
    <xf borderId="8" fillId="8" fontId="13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8" fontId="14" numFmtId="0" xfId="0" applyAlignment="1" applyBorder="1" applyFont="1">
      <alignment horizontal="left" shrinkToFit="0" vertical="center" wrapText="1"/>
    </xf>
    <xf borderId="8" fillId="5" fontId="13" numFmtId="0" xfId="0" applyAlignment="1" applyBorder="1" applyFont="1">
      <alignment horizontal="center" shrinkToFit="0" vertical="center" wrapText="1"/>
    </xf>
    <xf borderId="8" fillId="8" fontId="1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right" vertical="center"/>
    </xf>
    <xf borderId="7" fillId="2" fontId="5" numFmtId="164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9" fillId="10" fontId="1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3" fontId="16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9" fillId="4" fontId="5" numFmtId="164" xfId="0" applyAlignment="1" applyBorder="1" applyFont="1" applyNumberFormat="1">
      <alignment horizontal="center" shrinkToFit="0" vertical="center" wrapText="1"/>
    </xf>
    <xf borderId="12" fillId="10" fontId="1" numFmtId="0" xfId="0" applyAlignment="1" applyBorder="1" applyFont="1">
      <alignment horizontal="center" shrinkToFit="0" vertical="center" wrapText="1"/>
    </xf>
    <xf borderId="8" fillId="5" fontId="16" numFmtId="0" xfId="0" applyAlignment="1" applyBorder="1" applyFont="1">
      <alignment horizontal="center" shrinkToFit="0" vertical="center" wrapText="1"/>
    </xf>
    <xf borderId="8" fillId="8" fontId="16" numFmtId="0" xfId="0" applyAlignment="1" applyBorder="1" applyFont="1">
      <alignment horizontal="center" shrinkToFit="0" vertical="center" wrapText="1"/>
    </xf>
    <xf borderId="8" fillId="10" fontId="16" numFmtId="0" xfId="0" applyAlignment="1" applyBorder="1" applyFont="1">
      <alignment horizontal="center" shrinkToFit="0" vertical="center" wrapText="1"/>
    </xf>
    <xf borderId="8" fillId="11" fontId="17" numFmtId="0" xfId="0" applyAlignment="1" applyBorder="1" applyFill="1" applyFont="1">
      <alignment horizontal="center" shrinkToFit="0" vertical="center" wrapText="1"/>
    </xf>
    <xf borderId="8" fillId="5" fontId="15" numFmtId="0" xfId="0" applyAlignment="1" applyBorder="1" applyFont="1">
      <alignment horizontal="center" shrinkToFit="0" vertical="center" wrapText="1"/>
    </xf>
    <xf borderId="8" fillId="12" fontId="15" numFmtId="0" xfId="0" applyAlignment="1" applyBorder="1" applyFill="1" applyFont="1">
      <alignment horizontal="center" shrinkToFit="0" vertical="center" wrapText="1"/>
    </xf>
    <xf borderId="8" fillId="8" fontId="18" numFmtId="0" xfId="0" applyAlignment="1" applyBorder="1" applyFont="1">
      <alignment horizontal="center" shrinkToFit="0" vertical="center" wrapText="1"/>
    </xf>
    <xf borderId="9" fillId="10" fontId="5" numFmtId="0" xfId="0" applyAlignment="1" applyBorder="1" applyFont="1">
      <alignment horizontal="right" vertical="center"/>
    </xf>
    <xf borderId="12" fillId="10" fontId="5" numFmtId="164" xfId="0" applyAlignment="1" applyBorder="1" applyFont="1" applyNumberFormat="1">
      <alignment horizontal="right" vertical="center"/>
    </xf>
    <xf borderId="9" fillId="10" fontId="16" numFmtId="0" xfId="0" applyAlignment="1" applyBorder="1" applyFont="1">
      <alignment horizontal="center" shrinkToFit="0" vertical="center" wrapText="1"/>
    </xf>
    <xf borderId="9" fillId="10" fontId="4" numFmtId="0" xfId="0" applyAlignment="1" applyBorder="1" applyFont="1">
      <alignment horizontal="center" shrinkToFit="0" vertical="center" wrapText="1"/>
    </xf>
    <xf borderId="13" fillId="4" fontId="19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8" fillId="4" fontId="1" numFmtId="0" xfId="0" applyAlignment="1" applyBorder="1" applyFont="1">
      <alignment horizontal="center" shrinkToFit="0" vertical="center" wrapText="1"/>
    </xf>
    <xf borderId="8" fillId="8" fontId="20" numFmtId="0" xfId="0" applyAlignment="1" applyBorder="1" applyFont="1">
      <alignment horizontal="center" shrinkToFit="0" vertical="center" wrapText="1"/>
    </xf>
    <xf borderId="8" fillId="8" fontId="9" numFmtId="0" xfId="0" applyAlignment="1" applyBorder="1" applyFont="1">
      <alignment horizontal="center" shrinkToFit="0" vertical="center" wrapText="1"/>
    </xf>
    <xf borderId="8" fillId="8" fontId="8" numFmtId="0" xfId="0" applyAlignment="1" applyBorder="1" applyFont="1">
      <alignment horizontal="center" shrinkToFit="0" vertical="center" wrapText="1"/>
    </xf>
    <xf borderId="8" fillId="8" fontId="21" numFmtId="0" xfId="0" applyAlignment="1" applyBorder="1" applyFont="1">
      <alignment horizontal="center" shrinkToFit="0" vertical="center" wrapText="1"/>
    </xf>
    <xf borderId="8" fillId="5" fontId="20" numFmtId="165" xfId="0" applyAlignment="1" applyBorder="1" applyFont="1" applyNumberFormat="1">
      <alignment horizontal="center" shrinkToFit="0" vertical="center" wrapText="1"/>
    </xf>
    <xf borderId="8" fillId="5" fontId="9" numFmtId="165" xfId="0" applyAlignment="1" applyBorder="1" applyFont="1" applyNumberFormat="1">
      <alignment horizontal="center" shrinkToFit="0" vertical="center" wrapText="1"/>
    </xf>
    <xf borderId="8" fillId="5" fontId="8" numFmtId="0" xfId="0" applyAlignment="1" applyBorder="1" applyFont="1">
      <alignment horizontal="center" shrinkToFit="0" vertical="center" wrapText="1"/>
    </xf>
    <xf borderId="8" fillId="5" fontId="21" numFmtId="0" xfId="0" applyAlignment="1" applyBorder="1" applyFont="1">
      <alignment horizontal="center" shrinkToFit="0" vertical="center" wrapText="1"/>
    </xf>
    <xf borderId="8" fillId="8" fontId="20" numFmtId="165" xfId="0" applyAlignment="1" applyBorder="1" applyFont="1" applyNumberFormat="1">
      <alignment horizontal="center" shrinkToFit="0" vertical="center" wrapText="1"/>
    </xf>
    <xf borderId="8" fillId="8" fontId="9" numFmtId="165" xfId="0" applyAlignment="1" applyBorder="1" applyFont="1" applyNumberFormat="1">
      <alignment horizontal="center" shrinkToFit="0" vertical="center" wrapText="1"/>
    </xf>
    <xf borderId="8" fillId="5" fontId="20" numFmtId="0" xfId="0" applyAlignment="1" applyBorder="1" applyFon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4" fillId="4" fontId="2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9D353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10.0"/>
    <col customWidth="1" min="4" max="4" width="9.0"/>
    <col customWidth="1" min="5" max="5" width="8.0"/>
    <col customWidth="1" min="6" max="7" width="9.0"/>
    <col customWidth="1" min="8" max="8" width="8.0"/>
    <col customWidth="1" min="9" max="9" width="11.0"/>
    <col customWidth="1" min="10" max="10" width="10.0"/>
    <col customWidth="1" min="11" max="11" width="30.0"/>
    <col customWidth="1" min="12" max="12" width="12.0"/>
    <col customWidth="1" min="13" max="13" width="30.0"/>
    <col customWidth="1" min="14" max="14" width="12.0"/>
    <col customWidth="1" min="15" max="15" width="30.0"/>
    <col customWidth="1" min="16" max="16" width="12.0"/>
    <col customWidth="1" min="17" max="18" width="9.0"/>
    <col customWidth="1" min="19" max="19" width="12.0"/>
    <col customWidth="1" min="20" max="20" width="38.0"/>
    <col customWidth="1" min="21" max="26" width="8.71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 ht="21.75" customHeight="1">
      <c r="A2" s="5" t="s">
        <v>1</v>
      </c>
      <c r="B2" s="2"/>
      <c r="C2" s="2"/>
      <c r="D2" s="3"/>
      <c r="E2" s="5" t="s">
        <v>2</v>
      </c>
      <c r="F2" s="2"/>
      <c r="G2" s="2"/>
      <c r="H2" s="3"/>
      <c r="I2" s="5" t="s">
        <v>3</v>
      </c>
      <c r="J2" s="2"/>
      <c r="K2" s="3"/>
      <c r="L2" s="5" t="s">
        <v>4</v>
      </c>
      <c r="M2" s="2"/>
      <c r="N2" s="2"/>
      <c r="O2" s="2"/>
      <c r="P2" s="2"/>
      <c r="Q2" s="2"/>
      <c r="R2" s="2"/>
      <c r="S2" s="2"/>
      <c r="T2" s="3"/>
      <c r="U2" s="4"/>
      <c r="V2" s="4"/>
      <c r="W2" s="4"/>
      <c r="X2" s="4"/>
      <c r="Y2" s="4"/>
      <c r="Z2" s="4"/>
    </row>
    <row r="3" ht="19.5" customHeight="1">
      <c r="A3" s="6" t="s">
        <v>5</v>
      </c>
      <c r="B3" s="3"/>
      <c r="C3" s="7">
        <f>SUM(I6:I10)</f>
        <v>10000</v>
      </c>
      <c r="D3" s="3"/>
      <c r="E3" s="6">
        <f>AVERAGE(R6:R10)</f>
        <v>7.2</v>
      </c>
      <c r="F3" s="3"/>
      <c r="G3" s="6" t="s">
        <v>6</v>
      </c>
      <c r="H3" s="3"/>
      <c r="I3" s="6" t="s">
        <v>7</v>
      </c>
      <c r="J3" s="2"/>
      <c r="K3" s="3"/>
      <c r="L3" s="6" t="s">
        <v>8</v>
      </c>
      <c r="M3" s="2"/>
      <c r="N3" s="2"/>
      <c r="O3" s="2"/>
      <c r="P3" s="2"/>
      <c r="Q3" s="2"/>
      <c r="R3" s="2"/>
      <c r="S3" s="2"/>
      <c r="T3" s="3"/>
      <c r="U3" s="4"/>
      <c r="V3" s="4"/>
      <c r="W3" s="4"/>
      <c r="X3" s="4"/>
      <c r="Y3" s="4"/>
      <c r="Z3" s="4"/>
    </row>
    <row r="4" ht="15.75" customHeight="1">
      <c r="A4" s="8" t="s">
        <v>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4"/>
      <c r="V4" s="4"/>
      <c r="W4" s="4"/>
      <c r="X4" s="4"/>
      <c r="Y4" s="4"/>
      <c r="Z4" s="4"/>
    </row>
    <row r="5" ht="21.0" customHeight="1">
      <c r="A5" s="11" t="s">
        <v>10</v>
      </c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1" t="s">
        <v>16</v>
      </c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1" t="s">
        <v>26</v>
      </c>
      <c r="R5" s="11" t="s">
        <v>27</v>
      </c>
      <c r="S5" s="11" t="s">
        <v>28</v>
      </c>
      <c r="T5" s="11" t="s">
        <v>29</v>
      </c>
      <c r="U5" s="4"/>
      <c r="V5" s="4"/>
      <c r="W5" s="4"/>
      <c r="X5" s="4"/>
      <c r="Y5" s="4"/>
      <c r="Z5" s="4"/>
    </row>
    <row r="6" ht="15.75" customHeight="1">
      <c r="A6" s="12" t="s">
        <v>30</v>
      </c>
      <c r="B6" s="13" t="s">
        <v>31</v>
      </c>
      <c r="C6" s="14" t="s">
        <v>32</v>
      </c>
      <c r="D6" s="15">
        <v>0.72</v>
      </c>
      <c r="E6" s="12" t="s">
        <v>33</v>
      </c>
      <c r="F6" s="16">
        <v>1.03</v>
      </c>
      <c r="G6" s="17" t="str">
        <f t="shared" ref="G6:G10" si="1">IF(D6&gt;0,(G6-D6)/D6,"")</f>
        <v>#REF!</v>
      </c>
      <c r="H6" s="18">
        <v>0.55</v>
      </c>
      <c r="I6" s="19">
        <v>4000.0</v>
      </c>
      <c r="J6" s="20">
        <f t="shared" ref="J6:J10" si="2">IF(AND(D6&gt;0,I6&gt;0),ROUND(I6/(D6/100),0),"")</f>
        <v>555556</v>
      </c>
      <c r="K6" s="21" t="s">
        <v>34</v>
      </c>
      <c r="L6" s="22" t="s">
        <v>35</v>
      </c>
      <c r="M6" s="21" t="s">
        <v>36</v>
      </c>
      <c r="N6" s="22" t="s">
        <v>37</v>
      </c>
      <c r="O6" s="21" t="s">
        <v>38</v>
      </c>
      <c r="P6" s="22" t="s">
        <v>39</v>
      </c>
      <c r="Q6" s="23" t="s">
        <v>40</v>
      </c>
      <c r="R6" s="12">
        <v>9.0</v>
      </c>
      <c r="S6" s="24" t="s">
        <v>41</v>
      </c>
      <c r="T6" s="25" t="s">
        <v>42</v>
      </c>
      <c r="U6" s="4"/>
      <c r="V6" s="4"/>
      <c r="W6" s="4"/>
      <c r="X6" s="4"/>
      <c r="Y6" s="4"/>
      <c r="Z6" s="4"/>
    </row>
    <row r="7" ht="15.75" customHeight="1">
      <c r="A7" s="26" t="s">
        <v>43</v>
      </c>
      <c r="B7" s="27" t="s">
        <v>44</v>
      </c>
      <c r="C7" s="28" t="s">
        <v>32</v>
      </c>
      <c r="D7" s="29">
        <v>1.66</v>
      </c>
      <c r="E7" s="26" t="s">
        <v>45</v>
      </c>
      <c r="F7" s="30">
        <v>4.3</v>
      </c>
      <c r="G7" s="31" t="str">
        <f t="shared" si="1"/>
        <v>#REF!</v>
      </c>
      <c r="H7" s="32">
        <v>1.2</v>
      </c>
      <c r="I7" s="33">
        <v>2500.0</v>
      </c>
      <c r="J7" s="34">
        <f t="shared" si="2"/>
        <v>150602</v>
      </c>
      <c r="K7" s="35" t="s">
        <v>46</v>
      </c>
      <c r="L7" s="36" t="s">
        <v>47</v>
      </c>
      <c r="M7" s="35" t="s">
        <v>48</v>
      </c>
      <c r="N7" s="36" t="s">
        <v>49</v>
      </c>
      <c r="O7" s="35" t="s">
        <v>50</v>
      </c>
      <c r="P7" s="36" t="s">
        <v>35</v>
      </c>
      <c r="Q7" s="37" t="s">
        <v>51</v>
      </c>
      <c r="R7" s="38">
        <v>7.0</v>
      </c>
      <c r="S7" s="39" t="s">
        <v>52</v>
      </c>
      <c r="T7" s="40" t="s">
        <v>53</v>
      </c>
      <c r="U7" s="4"/>
      <c r="V7" s="4"/>
      <c r="W7" s="4"/>
      <c r="X7" s="4"/>
      <c r="Y7" s="4"/>
      <c r="Z7" s="4"/>
    </row>
    <row r="8" ht="14.25" customHeight="1">
      <c r="A8" s="12" t="s">
        <v>54</v>
      </c>
      <c r="B8" s="13" t="s">
        <v>55</v>
      </c>
      <c r="C8" s="14" t="s">
        <v>32</v>
      </c>
      <c r="D8" s="15">
        <v>2.2</v>
      </c>
      <c r="E8" s="12" t="s">
        <v>56</v>
      </c>
      <c r="F8" s="16">
        <v>2.34</v>
      </c>
      <c r="G8" s="17" t="str">
        <f t="shared" si="1"/>
        <v>#REF!</v>
      </c>
      <c r="H8" s="18">
        <v>1.75</v>
      </c>
      <c r="I8" s="19">
        <v>2000.0</v>
      </c>
      <c r="J8" s="20">
        <f t="shared" si="2"/>
        <v>90909</v>
      </c>
      <c r="K8" s="21" t="s">
        <v>57</v>
      </c>
      <c r="L8" s="22" t="s">
        <v>58</v>
      </c>
      <c r="M8" s="21" t="s">
        <v>59</v>
      </c>
      <c r="N8" s="22" t="s">
        <v>37</v>
      </c>
      <c r="O8" s="21" t="s">
        <v>60</v>
      </c>
      <c r="P8" s="22" t="s">
        <v>61</v>
      </c>
      <c r="Q8" s="23" t="s">
        <v>40</v>
      </c>
      <c r="R8" s="41">
        <v>7.0</v>
      </c>
      <c r="S8" s="39" t="s">
        <v>52</v>
      </c>
      <c r="T8" s="25" t="s">
        <v>62</v>
      </c>
      <c r="U8" s="4"/>
      <c r="V8" s="4"/>
      <c r="W8" s="4"/>
      <c r="X8" s="4"/>
      <c r="Y8" s="4"/>
      <c r="Z8" s="4"/>
    </row>
    <row r="9" ht="10.5" customHeight="1">
      <c r="A9" s="26" t="s">
        <v>63</v>
      </c>
      <c r="B9" s="27" t="s">
        <v>64</v>
      </c>
      <c r="C9" s="28" t="s">
        <v>65</v>
      </c>
      <c r="D9" s="29">
        <v>0.72</v>
      </c>
      <c r="E9" s="26" t="s">
        <v>66</v>
      </c>
      <c r="F9" s="30">
        <v>0.97</v>
      </c>
      <c r="G9" s="31" t="str">
        <f t="shared" si="1"/>
        <v>#REF!</v>
      </c>
      <c r="H9" s="32">
        <v>0.5</v>
      </c>
      <c r="I9" s="33">
        <v>1000.0</v>
      </c>
      <c r="J9" s="34">
        <f t="shared" si="2"/>
        <v>138889</v>
      </c>
      <c r="K9" s="35" t="s">
        <v>67</v>
      </c>
      <c r="L9" s="36" t="s">
        <v>68</v>
      </c>
      <c r="M9" s="35" t="s">
        <v>69</v>
      </c>
      <c r="N9" s="36" t="s">
        <v>70</v>
      </c>
      <c r="O9" s="35" t="s">
        <v>71</v>
      </c>
      <c r="P9" s="36" t="s">
        <v>72</v>
      </c>
      <c r="Q9" s="37" t="s">
        <v>51</v>
      </c>
      <c r="R9" s="42">
        <v>6.0</v>
      </c>
      <c r="S9" s="23" t="s">
        <v>73</v>
      </c>
      <c r="T9" s="40" t="s">
        <v>74</v>
      </c>
      <c r="U9" s="4"/>
      <c r="V9" s="4"/>
      <c r="W9" s="4"/>
      <c r="X9" s="4"/>
      <c r="Y9" s="4"/>
      <c r="Z9" s="4"/>
    </row>
    <row r="10" ht="16.5" customHeight="1">
      <c r="A10" s="12" t="s">
        <v>75</v>
      </c>
      <c r="B10" s="13" t="s">
        <v>76</v>
      </c>
      <c r="C10" s="14" t="s">
        <v>65</v>
      </c>
      <c r="D10" s="15">
        <v>0.28</v>
      </c>
      <c r="E10" s="12" t="s">
        <v>77</v>
      </c>
      <c r="F10" s="16">
        <v>0.54</v>
      </c>
      <c r="G10" s="17" t="str">
        <f t="shared" si="1"/>
        <v>#REF!</v>
      </c>
      <c r="H10" s="18">
        <v>0.2</v>
      </c>
      <c r="I10" s="19">
        <v>500.0</v>
      </c>
      <c r="J10" s="20">
        <f t="shared" si="2"/>
        <v>178571</v>
      </c>
      <c r="K10" s="21" t="s">
        <v>78</v>
      </c>
      <c r="L10" s="22" t="s">
        <v>49</v>
      </c>
      <c r="M10" s="21" t="s">
        <v>79</v>
      </c>
      <c r="N10" s="22" t="s">
        <v>37</v>
      </c>
      <c r="O10" s="21" t="s">
        <v>80</v>
      </c>
      <c r="P10" s="22" t="s">
        <v>81</v>
      </c>
      <c r="Q10" s="23" t="s">
        <v>40</v>
      </c>
      <c r="R10" s="41">
        <v>7.0</v>
      </c>
      <c r="S10" s="39" t="s">
        <v>52</v>
      </c>
      <c r="T10" s="25" t="s">
        <v>82</v>
      </c>
      <c r="U10" s="4"/>
      <c r="V10" s="4"/>
      <c r="W10" s="4"/>
      <c r="X10" s="4"/>
      <c r="Y10" s="4"/>
      <c r="Z10" s="4"/>
    </row>
    <row r="11" ht="18.0" customHeight="1">
      <c r="A11" s="43" t="s">
        <v>83</v>
      </c>
      <c r="B11" s="2"/>
      <c r="C11" s="2"/>
      <c r="D11" s="2"/>
      <c r="E11" s="2"/>
      <c r="F11" s="2"/>
      <c r="G11" s="2"/>
      <c r="H11" s="3"/>
      <c r="I11" s="44">
        <f>SUM(I6:I10)</f>
        <v>10000</v>
      </c>
      <c r="J11" s="45" t="s">
        <v>84</v>
      </c>
      <c r="K11" s="2"/>
      <c r="L11" s="2"/>
      <c r="M11" s="2"/>
      <c r="N11" s="2"/>
      <c r="O11" s="2"/>
      <c r="P11" s="2"/>
      <c r="Q11" s="2"/>
      <c r="R11" s="3"/>
      <c r="S11" s="45" t="s">
        <v>85</v>
      </c>
      <c r="T11" s="3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6" t="s">
        <v>86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9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5">
    <mergeCell ref="E3:F3"/>
    <mergeCell ref="G3:H3"/>
    <mergeCell ref="A11:H11"/>
    <mergeCell ref="J11:R11"/>
    <mergeCell ref="S11:T11"/>
    <mergeCell ref="I3:K3"/>
    <mergeCell ref="L3:T3"/>
    <mergeCell ref="A1:T1"/>
    <mergeCell ref="A2:D2"/>
    <mergeCell ref="E2:H2"/>
    <mergeCell ref="I2:K2"/>
    <mergeCell ref="L2:T2"/>
    <mergeCell ref="A3:B3"/>
    <mergeCell ref="C3:D3"/>
    <mergeCell ref="A4:T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B6B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10.0"/>
    <col customWidth="1" min="4" max="4" width="9.0"/>
    <col customWidth="1" min="5" max="5" width="8.0"/>
    <col customWidth="1" min="6" max="7" width="9.0"/>
    <col customWidth="1" min="8" max="8" width="8.0"/>
    <col customWidth="1" min="9" max="9" width="11.0"/>
    <col customWidth="1" min="10" max="10" width="10.0"/>
    <col customWidth="1" min="11" max="11" width="30.0"/>
    <col customWidth="1" min="12" max="12" width="12.0"/>
    <col customWidth="1" min="13" max="13" width="30.0"/>
    <col customWidth="1" min="14" max="14" width="12.0"/>
    <col customWidth="1" min="15" max="15" width="30.0"/>
    <col customWidth="1" min="16" max="16" width="12.0"/>
    <col customWidth="1" min="17" max="18" width="9.0"/>
    <col customWidth="1" min="19" max="19" width="12.0"/>
    <col customWidth="1" min="20" max="20" width="38.0"/>
    <col customWidth="1" min="21" max="26" width="8.71"/>
  </cols>
  <sheetData>
    <row r="1" ht="31.5" customHeight="1">
      <c r="A1" s="47" t="s">
        <v>87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9"/>
      <c r="U1" s="4"/>
      <c r="V1" s="4"/>
      <c r="W1" s="4"/>
      <c r="X1" s="4"/>
      <c r="Y1" s="4"/>
      <c r="Z1" s="4"/>
    </row>
    <row r="2" ht="21.75" customHeight="1">
      <c r="A2" s="50" t="s">
        <v>1</v>
      </c>
      <c r="B2" s="48"/>
      <c r="C2" s="48"/>
      <c r="D2" s="49"/>
      <c r="E2" s="50" t="s">
        <v>2</v>
      </c>
      <c r="F2" s="48"/>
      <c r="G2" s="48"/>
      <c r="H2" s="49"/>
      <c r="I2" s="50" t="s">
        <v>3</v>
      </c>
      <c r="J2" s="48"/>
      <c r="K2" s="49"/>
      <c r="L2" s="50" t="s">
        <v>4</v>
      </c>
      <c r="M2" s="48"/>
      <c r="N2" s="48"/>
      <c r="O2" s="48"/>
      <c r="P2" s="48"/>
      <c r="Q2" s="48"/>
      <c r="R2" s="48"/>
      <c r="S2" s="48"/>
      <c r="T2" s="49"/>
      <c r="U2" s="4"/>
      <c r="V2" s="4"/>
      <c r="W2" s="4"/>
      <c r="X2" s="4"/>
      <c r="Y2" s="4"/>
      <c r="Z2" s="4"/>
    </row>
    <row r="3" ht="19.5" customHeight="1">
      <c r="A3" s="51" t="s">
        <v>88</v>
      </c>
      <c r="B3" s="49"/>
      <c r="C3" s="52">
        <f>SUM(I6:I11)</f>
        <v>9000</v>
      </c>
      <c r="D3" s="49"/>
      <c r="E3" s="51">
        <f>AVERAGE(R6:R11)</f>
        <v>6</v>
      </c>
      <c r="F3" s="49"/>
      <c r="G3" s="51" t="s">
        <v>6</v>
      </c>
      <c r="H3" s="49"/>
      <c r="I3" s="51" t="s">
        <v>89</v>
      </c>
      <c r="J3" s="48"/>
      <c r="K3" s="49"/>
      <c r="L3" s="51" t="s">
        <v>8</v>
      </c>
      <c r="M3" s="48"/>
      <c r="N3" s="48"/>
      <c r="O3" s="48"/>
      <c r="P3" s="48"/>
      <c r="Q3" s="48"/>
      <c r="R3" s="48"/>
      <c r="S3" s="48"/>
      <c r="T3" s="49"/>
      <c r="U3" s="4"/>
      <c r="V3" s="4"/>
      <c r="W3" s="4"/>
      <c r="X3" s="4"/>
      <c r="Y3" s="4"/>
      <c r="Z3" s="4"/>
    </row>
    <row r="4" ht="15.75" customHeight="1">
      <c r="A4" s="8" t="s">
        <v>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4"/>
      <c r="V4" s="4"/>
      <c r="W4" s="4"/>
      <c r="X4" s="4"/>
      <c r="Y4" s="4"/>
      <c r="Z4" s="4"/>
    </row>
    <row r="5" ht="38.25" customHeight="1">
      <c r="A5" s="53" t="s">
        <v>10</v>
      </c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  <c r="K5" s="53" t="s">
        <v>20</v>
      </c>
      <c r="L5" s="53" t="s">
        <v>21</v>
      </c>
      <c r="M5" s="53" t="s">
        <v>22</v>
      </c>
      <c r="N5" s="53" t="s">
        <v>23</v>
      </c>
      <c r="O5" s="53" t="s">
        <v>24</v>
      </c>
      <c r="P5" s="53" t="s">
        <v>25</v>
      </c>
      <c r="Q5" s="53" t="s">
        <v>26</v>
      </c>
      <c r="R5" s="53" t="s">
        <v>27</v>
      </c>
      <c r="S5" s="53" t="s">
        <v>28</v>
      </c>
      <c r="T5" s="53" t="s">
        <v>29</v>
      </c>
      <c r="U5" s="4"/>
      <c r="V5" s="4"/>
      <c r="W5" s="4"/>
      <c r="X5" s="4"/>
      <c r="Y5" s="4"/>
      <c r="Z5" s="4"/>
    </row>
    <row r="6" ht="36.0" customHeight="1">
      <c r="A6" s="54" t="s">
        <v>30</v>
      </c>
      <c r="B6" s="13" t="s">
        <v>31</v>
      </c>
      <c r="C6" s="14" t="s">
        <v>90</v>
      </c>
      <c r="D6" s="15">
        <v>0.72</v>
      </c>
      <c r="E6" s="12" t="s">
        <v>33</v>
      </c>
      <c r="F6" s="16">
        <v>1.43</v>
      </c>
      <c r="G6" s="17" t="str">
        <f t="shared" ref="G6:G11" si="1">IF(D6&gt;0,(G6-D6)/D6,"")</f>
        <v>#REF!</v>
      </c>
      <c r="H6" s="18">
        <v>0.62</v>
      </c>
      <c r="I6" s="19">
        <v>2500.0</v>
      </c>
      <c r="J6" s="20">
        <f t="shared" ref="J6:J11" si="2">IF(AND(D6&gt;0,I6&gt;0),ROUND(I6/(D6/100),0),"")</f>
        <v>347222</v>
      </c>
      <c r="K6" s="21" t="s">
        <v>91</v>
      </c>
      <c r="L6" s="22" t="s">
        <v>39</v>
      </c>
      <c r="M6" s="21" t="s">
        <v>92</v>
      </c>
      <c r="N6" s="22" t="s">
        <v>93</v>
      </c>
      <c r="O6" s="21" t="s">
        <v>94</v>
      </c>
      <c r="P6" s="22" t="s">
        <v>95</v>
      </c>
      <c r="Q6" s="23" t="s">
        <v>40</v>
      </c>
      <c r="R6" s="12">
        <v>9.0</v>
      </c>
      <c r="S6" s="24" t="s">
        <v>41</v>
      </c>
      <c r="T6" s="25" t="s">
        <v>96</v>
      </c>
      <c r="U6" s="4"/>
      <c r="V6" s="4"/>
      <c r="W6" s="4"/>
      <c r="X6" s="4"/>
      <c r="Y6" s="4"/>
      <c r="Z6" s="4"/>
    </row>
    <row r="7" ht="54.75" customHeight="1">
      <c r="A7" s="55" t="s">
        <v>43</v>
      </c>
      <c r="B7" s="27" t="s">
        <v>44</v>
      </c>
      <c r="C7" s="28" t="s">
        <v>90</v>
      </c>
      <c r="D7" s="29">
        <v>1.66</v>
      </c>
      <c r="E7" s="26" t="s">
        <v>45</v>
      </c>
      <c r="F7" s="30">
        <v>4.3</v>
      </c>
      <c r="G7" s="31" t="str">
        <f t="shared" si="1"/>
        <v>#REF!</v>
      </c>
      <c r="H7" s="32">
        <v>1.15</v>
      </c>
      <c r="I7" s="33">
        <v>2000.0</v>
      </c>
      <c r="J7" s="34">
        <f t="shared" si="2"/>
        <v>120482</v>
      </c>
      <c r="K7" s="35" t="s">
        <v>97</v>
      </c>
      <c r="L7" s="36" t="s">
        <v>49</v>
      </c>
      <c r="M7" s="35" t="s">
        <v>98</v>
      </c>
      <c r="N7" s="36" t="s">
        <v>81</v>
      </c>
      <c r="O7" s="35" t="s">
        <v>99</v>
      </c>
      <c r="P7" s="36" t="s">
        <v>72</v>
      </c>
      <c r="Q7" s="56" t="s">
        <v>100</v>
      </c>
      <c r="R7" s="38">
        <v>7.0</v>
      </c>
      <c r="S7" s="39" t="s">
        <v>52</v>
      </c>
      <c r="T7" s="40" t="s">
        <v>101</v>
      </c>
      <c r="U7" s="4"/>
      <c r="V7" s="4"/>
      <c r="W7" s="4"/>
      <c r="X7" s="4"/>
      <c r="Y7" s="4"/>
      <c r="Z7" s="4"/>
    </row>
    <row r="8" ht="54.75" customHeight="1">
      <c r="A8" s="54" t="s">
        <v>102</v>
      </c>
      <c r="B8" s="13" t="s">
        <v>103</v>
      </c>
      <c r="C8" s="14" t="s">
        <v>104</v>
      </c>
      <c r="D8" s="15">
        <v>0.1</v>
      </c>
      <c r="E8" s="54" t="s">
        <v>105</v>
      </c>
      <c r="F8" s="16">
        <v>0.3</v>
      </c>
      <c r="G8" s="17" t="str">
        <f t="shared" si="1"/>
        <v>#REF!</v>
      </c>
      <c r="H8" s="18">
        <v>0.06</v>
      </c>
      <c r="I8" s="19">
        <v>1500.0</v>
      </c>
      <c r="J8" s="20">
        <f t="shared" si="2"/>
        <v>1500000</v>
      </c>
      <c r="K8" s="21" t="s">
        <v>106</v>
      </c>
      <c r="L8" s="22" t="s">
        <v>107</v>
      </c>
      <c r="M8" s="21" t="s">
        <v>108</v>
      </c>
      <c r="N8" s="22" t="s">
        <v>49</v>
      </c>
      <c r="O8" s="21" t="s">
        <v>109</v>
      </c>
      <c r="P8" s="22" t="s">
        <v>110</v>
      </c>
      <c r="Q8" s="57" t="s">
        <v>111</v>
      </c>
      <c r="R8" s="58">
        <v>5.0</v>
      </c>
      <c r="S8" s="59" t="s">
        <v>112</v>
      </c>
      <c r="T8" s="25" t="s">
        <v>113</v>
      </c>
      <c r="U8" s="4"/>
      <c r="V8" s="4"/>
      <c r="W8" s="4"/>
      <c r="X8" s="4"/>
      <c r="Y8" s="4"/>
      <c r="Z8" s="4"/>
    </row>
    <row r="9" ht="54.75" customHeight="1">
      <c r="A9" s="55" t="s">
        <v>63</v>
      </c>
      <c r="B9" s="27" t="s">
        <v>64</v>
      </c>
      <c r="C9" s="28" t="s">
        <v>90</v>
      </c>
      <c r="D9" s="29">
        <v>0.72</v>
      </c>
      <c r="E9" s="26" t="s">
        <v>66</v>
      </c>
      <c r="F9" s="30">
        <v>1.13</v>
      </c>
      <c r="G9" s="31" t="str">
        <f t="shared" si="1"/>
        <v>#REF!</v>
      </c>
      <c r="H9" s="32">
        <v>0.48</v>
      </c>
      <c r="I9" s="33">
        <v>1500.0</v>
      </c>
      <c r="J9" s="34">
        <f t="shared" si="2"/>
        <v>208333</v>
      </c>
      <c r="K9" s="35" t="s">
        <v>114</v>
      </c>
      <c r="L9" s="36" t="s">
        <v>49</v>
      </c>
      <c r="M9" s="35" t="s">
        <v>115</v>
      </c>
      <c r="N9" s="36" t="s">
        <v>72</v>
      </c>
      <c r="O9" s="35" t="s">
        <v>116</v>
      </c>
      <c r="P9" s="36" t="s">
        <v>117</v>
      </c>
      <c r="Q9" s="56" t="s">
        <v>100</v>
      </c>
      <c r="R9" s="42">
        <v>6.0</v>
      </c>
      <c r="S9" s="39" t="s">
        <v>52</v>
      </c>
      <c r="T9" s="40" t="s">
        <v>118</v>
      </c>
      <c r="U9" s="4"/>
      <c r="V9" s="4"/>
      <c r="W9" s="4"/>
      <c r="X9" s="4"/>
      <c r="Y9" s="4"/>
      <c r="Z9" s="4"/>
    </row>
    <row r="10" ht="54.75" customHeight="1">
      <c r="A10" s="54" t="s">
        <v>119</v>
      </c>
      <c r="B10" s="13" t="s">
        <v>120</v>
      </c>
      <c r="C10" s="14" t="s">
        <v>121</v>
      </c>
      <c r="D10" s="15">
        <v>0.09</v>
      </c>
      <c r="E10" s="54" t="s">
        <v>122</v>
      </c>
      <c r="F10" s="16">
        <v>0.3</v>
      </c>
      <c r="G10" s="17" t="str">
        <f t="shared" si="1"/>
        <v>#REF!</v>
      </c>
      <c r="H10" s="18">
        <v>0.04</v>
      </c>
      <c r="I10" s="19">
        <v>1000.0</v>
      </c>
      <c r="J10" s="20">
        <f t="shared" si="2"/>
        <v>1111111</v>
      </c>
      <c r="K10" s="21" t="s">
        <v>123</v>
      </c>
      <c r="L10" s="22" t="s">
        <v>49</v>
      </c>
      <c r="M10" s="21" t="s">
        <v>124</v>
      </c>
      <c r="N10" s="22" t="s">
        <v>125</v>
      </c>
      <c r="O10" s="21" t="s">
        <v>126</v>
      </c>
      <c r="P10" s="22" t="s">
        <v>72</v>
      </c>
      <c r="Q10" s="57" t="s">
        <v>111</v>
      </c>
      <c r="R10" s="58">
        <v>5.0</v>
      </c>
      <c r="S10" s="59" t="s">
        <v>112</v>
      </c>
      <c r="T10" s="25" t="s">
        <v>127</v>
      </c>
      <c r="U10" s="4"/>
      <c r="V10" s="4"/>
      <c r="W10" s="4"/>
      <c r="X10" s="4"/>
      <c r="Y10" s="4"/>
      <c r="Z10" s="4"/>
    </row>
    <row r="11" ht="54.75" customHeight="1">
      <c r="A11" s="55" t="s">
        <v>128</v>
      </c>
      <c r="B11" s="27" t="s">
        <v>129</v>
      </c>
      <c r="C11" s="28" t="s">
        <v>121</v>
      </c>
      <c r="D11" s="29">
        <v>0.01</v>
      </c>
      <c r="E11" s="55" t="s">
        <v>130</v>
      </c>
      <c r="F11" s="30">
        <v>0.04</v>
      </c>
      <c r="G11" s="31" t="str">
        <f t="shared" si="1"/>
        <v>#REF!</v>
      </c>
      <c r="H11" s="32">
        <v>0.005</v>
      </c>
      <c r="I11" s="33">
        <v>500.0</v>
      </c>
      <c r="J11" s="34">
        <f t="shared" si="2"/>
        <v>5000000</v>
      </c>
      <c r="K11" s="35" t="s">
        <v>131</v>
      </c>
      <c r="L11" s="36" t="s">
        <v>132</v>
      </c>
      <c r="M11" s="35" t="s">
        <v>133</v>
      </c>
      <c r="N11" s="36" t="s">
        <v>37</v>
      </c>
      <c r="O11" s="35" t="s">
        <v>134</v>
      </c>
      <c r="P11" s="36" t="s">
        <v>72</v>
      </c>
      <c r="Q11" s="57" t="s">
        <v>111</v>
      </c>
      <c r="R11" s="60">
        <v>4.0</v>
      </c>
      <c r="S11" s="56" t="s">
        <v>104</v>
      </c>
      <c r="T11" s="40" t="s">
        <v>135</v>
      </c>
      <c r="U11" s="4"/>
      <c r="V11" s="4"/>
      <c r="W11" s="4"/>
      <c r="X11" s="4"/>
      <c r="Y11" s="4"/>
      <c r="Z11" s="4"/>
    </row>
    <row r="12" ht="24.0" customHeight="1">
      <c r="A12" s="61" t="s">
        <v>83</v>
      </c>
      <c r="B12" s="48"/>
      <c r="C12" s="48"/>
      <c r="D12" s="48"/>
      <c r="E12" s="48"/>
      <c r="F12" s="48"/>
      <c r="G12" s="48"/>
      <c r="H12" s="49"/>
      <c r="I12" s="62">
        <f>SUM(I6:I11)</f>
        <v>9000</v>
      </c>
      <c r="J12" s="63" t="s">
        <v>136</v>
      </c>
      <c r="K12" s="48"/>
      <c r="L12" s="48"/>
      <c r="M12" s="48"/>
      <c r="N12" s="48"/>
      <c r="O12" s="48"/>
      <c r="P12" s="48"/>
      <c r="Q12" s="48"/>
      <c r="R12" s="49"/>
      <c r="S12" s="64" t="s">
        <v>137</v>
      </c>
      <c r="T12" s="49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5">
    <mergeCell ref="E3:F3"/>
    <mergeCell ref="G3:H3"/>
    <mergeCell ref="A12:H12"/>
    <mergeCell ref="J12:R12"/>
    <mergeCell ref="S12:T12"/>
    <mergeCell ref="I3:K3"/>
    <mergeCell ref="L3:T3"/>
    <mergeCell ref="A1:T1"/>
    <mergeCell ref="A2:D2"/>
    <mergeCell ref="E2:H2"/>
    <mergeCell ref="I2:K2"/>
    <mergeCell ref="L2:T2"/>
    <mergeCell ref="A3:B3"/>
    <mergeCell ref="C3:D3"/>
    <mergeCell ref="A4:T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C040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4" width="30.0"/>
    <col customWidth="1" min="5" max="6" width="16.0"/>
    <col customWidth="1" min="7" max="26" width="8.71"/>
  </cols>
  <sheetData>
    <row r="1" ht="30.0" customHeight="1">
      <c r="A1" s="65" t="s">
        <v>138</v>
      </c>
      <c r="B1" s="66"/>
      <c r="C1" s="66"/>
      <c r="D1" s="66"/>
      <c r="E1" s="66"/>
      <c r="F1" s="67"/>
    </row>
    <row r="2" ht="19.5" customHeight="1">
      <c r="B2" s="68" t="s">
        <v>139</v>
      </c>
      <c r="C2" s="68" t="s">
        <v>140</v>
      </c>
      <c r="D2" s="68" t="s">
        <v>141</v>
      </c>
      <c r="E2" s="68" t="s">
        <v>142</v>
      </c>
      <c r="F2" s="68" t="s">
        <v>143</v>
      </c>
    </row>
    <row r="3" ht="21.75" customHeight="1">
      <c r="B3" s="27" t="s">
        <v>144</v>
      </c>
      <c r="C3" s="69" t="s">
        <v>145</v>
      </c>
      <c r="D3" s="70" t="s">
        <v>146</v>
      </c>
      <c r="E3" s="71" t="str">
        <f t="shared" ref="E3:E7" si="1">C4-B4</f>
        <v>#VALUE!</v>
      </c>
      <c r="F3" s="72" t="s">
        <v>147</v>
      </c>
    </row>
    <row r="4" ht="21.75" customHeight="1">
      <c r="B4" s="13" t="s">
        <v>148</v>
      </c>
      <c r="C4" s="73">
        <f>SUM('🛡️ DEFENSIVE SPECULATIVE'!I6:I10)</f>
        <v>10000</v>
      </c>
      <c r="D4" s="74">
        <f>SUM('⚡ AGGRESSIVE SPECULATIVE'!I6:I11)</f>
        <v>9000</v>
      </c>
      <c r="E4" s="75" t="str">
        <f t="shared" si="1"/>
        <v>#VALUE!</v>
      </c>
      <c r="F4" s="76"/>
    </row>
    <row r="5" ht="21.75" customHeight="1">
      <c r="B5" s="27" t="s">
        <v>149</v>
      </c>
      <c r="C5" s="77" t="str">
        <f t="shared" ref="C5:D5" si="2">10000-B5</f>
        <v>#VALUE!</v>
      </c>
      <c r="D5" s="78" t="str">
        <f t="shared" si="2"/>
        <v>#VALUE!</v>
      </c>
      <c r="E5" s="71" t="str">
        <f t="shared" si="1"/>
        <v>#VALUE!</v>
      </c>
      <c r="F5" s="72"/>
    </row>
    <row r="6" ht="21.75" customHeight="1">
      <c r="B6" s="13" t="s">
        <v>150</v>
      </c>
      <c r="C6" s="73" t="str">
        <f t="shared" ref="C6:D6" si="3">B5/B4</f>
        <v>#VALUE!</v>
      </c>
      <c r="D6" s="74" t="str">
        <f t="shared" si="3"/>
        <v>#VALUE!</v>
      </c>
      <c r="E6" s="75" t="str">
        <f t="shared" si="1"/>
        <v>#VALUE!</v>
      </c>
      <c r="F6" s="76" t="s">
        <v>151</v>
      </c>
    </row>
    <row r="7" ht="21.75" customHeight="1">
      <c r="B7" s="27" t="s">
        <v>152</v>
      </c>
      <c r="C7" s="77">
        <f>AVERAGE('🛡️ DEFENSIVE SPECULATIVE'!R6:R10)</f>
        <v>7.2</v>
      </c>
      <c r="D7" s="78">
        <f>AVERAGE('⚡ AGGRESSIVE SPECULATIVE'!R6:R11)</f>
        <v>6</v>
      </c>
      <c r="E7" s="71" t="str">
        <f t="shared" si="1"/>
        <v>#VALUE!</v>
      </c>
      <c r="F7" s="72"/>
    </row>
    <row r="8" ht="21.75" customHeight="1">
      <c r="B8" s="13" t="s">
        <v>153</v>
      </c>
      <c r="C8" s="79" t="s">
        <v>154</v>
      </c>
      <c r="D8" s="80" t="s">
        <v>154</v>
      </c>
      <c r="E8" s="75" t="s">
        <v>155</v>
      </c>
      <c r="F8" s="76" t="s">
        <v>156</v>
      </c>
    </row>
    <row r="9" ht="21.75" customHeight="1">
      <c r="B9" s="27" t="s">
        <v>157</v>
      </c>
      <c r="C9" s="69" t="s">
        <v>158</v>
      </c>
      <c r="D9" s="70" t="s">
        <v>159</v>
      </c>
      <c r="E9" s="71" t="s">
        <v>155</v>
      </c>
      <c r="F9" s="72" t="s">
        <v>160</v>
      </c>
    </row>
    <row r="10" ht="21.75" customHeight="1">
      <c r="B10" s="13" t="s">
        <v>161</v>
      </c>
      <c r="C10" s="79" t="s">
        <v>162</v>
      </c>
      <c r="D10" s="80" t="s">
        <v>163</v>
      </c>
      <c r="E10" s="75" t="s">
        <v>155</v>
      </c>
      <c r="F10" s="76" t="s">
        <v>164</v>
      </c>
    </row>
    <row r="11" ht="21.75" customHeight="1">
      <c r="B11" s="27" t="s">
        <v>165</v>
      </c>
      <c r="C11" s="69" t="s">
        <v>166</v>
      </c>
      <c r="D11" s="70" t="s">
        <v>167</v>
      </c>
      <c r="E11" s="71" t="s">
        <v>155</v>
      </c>
      <c r="F11" s="72" t="s">
        <v>168</v>
      </c>
    </row>
    <row r="12" ht="21.75" customHeight="1">
      <c r="B12" s="13" t="s">
        <v>169</v>
      </c>
      <c r="C12" s="79" t="s">
        <v>170</v>
      </c>
      <c r="D12" s="80" t="s">
        <v>171</v>
      </c>
      <c r="E12" s="75" t="s">
        <v>155</v>
      </c>
      <c r="F12" s="76" t="s">
        <v>160</v>
      </c>
    </row>
    <row r="13" ht="21.75" customHeight="1">
      <c r="B13" s="27" t="s">
        <v>172</v>
      </c>
      <c r="C13" s="69" t="s">
        <v>173</v>
      </c>
      <c r="D13" s="70" t="s">
        <v>174</v>
      </c>
      <c r="E13" s="71" t="s">
        <v>155</v>
      </c>
      <c r="F13" s="72" t="s">
        <v>160</v>
      </c>
    </row>
    <row r="14" ht="21.75" customHeight="1">
      <c r="B14" s="13" t="s">
        <v>175</v>
      </c>
      <c r="C14" s="79" t="s">
        <v>176</v>
      </c>
      <c r="D14" s="80" t="s">
        <v>177</v>
      </c>
      <c r="E14" s="75" t="s">
        <v>155</v>
      </c>
      <c r="F14" s="76" t="s">
        <v>160</v>
      </c>
    </row>
    <row r="15" ht="21.75" customHeight="1">
      <c r="B15" s="27" t="s">
        <v>178</v>
      </c>
      <c r="C15" s="69" t="s">
        <v>179</v>
      </c>
      <c r="D15" s="70" t="s">
        <v>180</v>
      </c>
      <c r="E15" s="71" t="s">
        <v>155</v>
      </c>
      <c r="F15" s="72" t="s">
        <v>168</v>
      </c>
    </row>
    <row r="16" ht="21.75" customHeight="1">
      <c r="B16" s="13" t="s">
        <v>181</v>
      </c>
      <c r="C16" s="79" t="s">
        <v>182</v>
      </c>
      <c r="D16" s="80" t="s">
        <v>183</v>
      </c>
      <c r="E16" s="75" t="s">
        <v>155</v>
      </c>
      <c r="F16" s="76" t="s">
        <v>160</v>
      </c>
    </row>
    <row r="18" ht="18.0" customHeight="1">
      <c r="B18" s="81" t="s">
        <v>184</v>
      </c>
      <c r="C18" s="9"/>
      <c r="D18" s="9"/>
      <c r="E18" s="9"/>
      <c r="F1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B18:F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2026-03-19T21:22:47Z</dcterms:created>
  <dc:creator>openpyxl</dc:creator>
</cp:coreProperties>
</file>