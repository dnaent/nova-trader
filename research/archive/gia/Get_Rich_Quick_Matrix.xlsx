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t Rich Quick Matri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<sst xmlns="http://schemas.openxmlformats.org/spreadsheetml/2006/main" count="306" uniqueCount="204">
  <si>
    <t xml:space="preserve">🎰 THE GET RICH QUICK MATRIX: "The Chaos Portfolio" — EXPANDED EDITION</t>
  </si>
  <si>
    <t xml:space="preserve">Budget: £6,300 (£600 Dry Powder)  |  100% Speculative  |  Horizon: 2-10 Years  |  15 Geopolitical &amp; Thematic Catalysts  |  29 Asymmetric Bets</t>
  </si>
  <si>
    <t xml:space="preserve">Strategy: Asymmetric bets on geopolitical chaos, technological disruption &amp; megatrend catalysts. Every pick has a credible path to 5-100x if thesis plays out.</t>
  </si>
  <si>
    <t xml:space="preserve">Ticker</t>
  </si>
  <si>
    <t xml:space="preserve">Holding Name</t>
  </si>
  <si>
    <t xml:space="preserve">Account</t>
  </si>
  <si>
    <t xml:space="preserve">Share Price
(Feb 2026)</t>
  </si>
  <si>
    <t xml:space="preserve">Investment (£)</t>
  </si>
  <si>
    <t xml:space="preserve">5-Yr Target
(If Thesis Hits)</t>
  </si>
  <si>
    <t xml:space="preserve">Geopolitical Catalyst</t>
  </si>
  <si>
    <t xml:space="preserve">Upside
Multiple</t>
  </si>
  <si>
    <t xml:space="preserve">Risk Level</t>
  </si>
  <si>
    <t xml:space="preserve">The Extenuating Circumstance (The "Why")</t>
  </si>
  <si>
    <t xml:space="preserve">🎯 CATALYST 1: NATO REARMAMENT — European Defence Budgets Doubling to 3.5% GDP</t>
  </si>
  <si>
    <t xml:space="preserve">CHRT.L</t>
  </si>
  <si>
    <t xml:space="preserve">Cohort plc</t>
  </si>
  <si>
    <t xml:space="preserve">GIA</t>
  </si>
  <si>
    <t xml:space="preserve">~1400p</t>
  </si>
  <si>
    <t xml:space="preserve">£1,500</t>
  </si>
  <si>
    <t xml:space="preserve">NATO 3.5% GDP</t>
  </si>
  <si>
    <t xml:space="preserve">5x</t>
  </si>
  <si>
    <t xml:space="preserve">🔴🔴🔴</t>
  </si>
  <si>
    <t xml:space="preserve">AIM-listed defence tech. Record £650m order book. RBC target 1570p. Making electronic warfare, naval comms &amp; surveillance for NATO.</t>
  </si>
  <si>
    <t xml:space="preserve">CHG.L</t>
  </si>
  <si>
    <t xml:space="preserve">Chemring Group</t>
  </si>
  <si>
    <t xml:space="preserve">~420p</t>
  </si>
  <si>
    <t xml:space="preserve">£1,200</t>
  </si>
  <si>
    <t xml:space="preserve">Ammo Restocking</t>
  </si>
  <si>
    <t xml:space="preserve">4x</t>
  </si>
  <si>
    <t xml:space="preserve">🔴🔴🟡</t>
  </si>
  <si>
    <t xml:space="preserve">Making the actual explosives NATO needs. Expanding capacity 275% by 2028. Record £1.34bn order book.</t>
  </si>
  <si>
    <t xml:space="preserve">CNC.L</t>
  </si>
  <si>
    <t xml:space="preserve">Concurrent Technologies</t>
  </si>
  <si>
    <t xml:space="preserve">~130p</t>
  </si>
  <si>
    <t xml:space="preserve">£1,000</t>
  </si>
  <si>
    <t xml:space="preserve">Defence Electronics</t>
  </si>
  <si>
    <t xml:space="preserve">Ex-penny stock surging on defence spending revolution. Rugged computing boards for military/aerospace.</t>
  </si>
  <si>
    <t xml:space="preserve">AVON.L</t>
  </si>
  <si>
    <t xml:space="preserve">Avon Technologies</t>
  </si>
  <si>
    <t xml:space="preserve">~1200p</t>
  </si>
  <si>
    <t xml:space="preserve">£750</t>
  </si>
  <si>
    <t xml:space="preserve">Soldier Protection</t>
  </si>
  <si>
    <t xml:space="preserve">3x</t>
  </si>
  <si>
    <t xml:space="preserve">Makes gas masks, helmets &amp; respiratory protection for NATO. 6.5% dividend yield. Was 4000p in 2020.</t>
  </si>
  <si>
    <t xml:space="preserve">☢️ CATALYST 2: NUCLEAR RENAISSANCE — AI Data Centers Need 24/7 Baseload Power</t>
  </si>
  <si>
    <t xml:space="preserve">$SMR</t>
  </si>
  <si>
    <t xml:space="preserve">NuScale Power Corp</t>
  </si>
  <si>
    <t xml:space="preserve">~$13.50</t>
  </si>
  <si>
    <t xml:space="preserve">£1,750</t>
  </si>
  <si>
    <t xml:space="preserve">SMR Deployment</t>
  </si>
  <si>
    <t xml:space="preserve">Only NRC-certified SMR design in the world. 6GW TVA partnership. ATH was $57.42. GE Vernova-comparable = 30x.</t>
  </si>
  <si>
    <t xml:space="preserve">$NNE</t>
  </si>
  <si>
    <t xml:space="preserve">Nano Nuclear Energy</t>
  </si>
  <si>
    <t xml:space="preserve">~$20</t>
  </si>
  <si>
    <t xml:space="preserve">£1,250</t>
  </si>
  <si>
    <t xml:space="preserve">Micro-Reactors</t>
  </si>
  <si>
    <t xml:space="preserve">Building micro-reactors small enough for remote military bases &amp; off-grid data centers. Purest play.</t>
  </si>
  <si>
    <t xml:space="preserve">$OKLO</t>
  </si>
  <si>
    <t xml:space="preserve">Oklo Inc</t>
  </si>
  <si>
    <t xml:space="preserve">~$25</t>
  </si>
  <si>
    <t xml:space="preserve">AI Power Crisis</t>
  </si>
  <si>
    <t xml:space="preserve">Sam Altman-backed nuclear startup. Building compact fast reactors. If OpenAI/Microsoft sign nuclear PPAs = 20x.</t>
  </si>
  <si>
    <t xml:space="preserve">🇨🇳 CATALYST 3: CHINA DECOUPLING — REE Export Bans, Taiwan Strait, Gallium Chokehold</t>
  </si>
  <si>
    <t xml:space="preserve">$MP</t>
  </si>
  <si>
    <t xml:space="preserve">MP Materials Corp</t>
  </si>
  <si>
    <t xml:space="preserve">China REE Ban</t>
  </si>
  <si>
    <t xml:space="preserve">Only scaled rare earth mine &amp; processor in the Western world. US govt investment. If China fully bans = 10x+.</t>
  </si>
  <si>
    <t xml:space="preserve">$IREN</t>
  </si>
  <si>
    <t xml:space="preserve">IREN Ltd (prev. Iris Energy)</t>
  </si>
  <si>
    <t xml:space="preserve">~$10</t>
  </si>
  <si>
    <t xml:space="preserve">£600</t>
  </si>
  <si>
    <t xml:space="preserve">Bitcoin-to-AI Pivot</t>
  </si>
  <si>
    <t xml:space="preserve">Pivoting Bitcoin mining infrastructure to AI/HPC data centers. Was $76 at peak.</t>
  </si>
  <si>
    <t xml:space="preserve">IKA.L</t>
  </si>
  <si>
    <t xml:space="preserve">Ilika plc</t>
  </si>
  <si>
    <t xml:space="preserve">~47p</t>
  </si>
  <si>
    <t xml:space="preserve">Solid State Batteries</t>
  </si>
  <si>
    <t xml:space="preserve">UK solid-state battery pioneer. Stereax for medicals shipping now. If solid-state replaces Li-ion = 30x.</t>
  </si>
  <si>
    <t xml:space="preserve">🔐 CATALYST 4: QUANTUM &amp; CYBER WARFARE — $15Bn Pentagon Cyber Budget</t>
  </si>
  <si>
    <t xml:space="preserve">$IONQ</t>
  </si>
  <si>
    <t xml:space="preserve">IonQ Inc</t>
  </si>
  <si>
    <t xml:space="preserve">~$30</t>
  </si>
  <si>
    <t xml:space="preserve">Quantum Supremacy</t>
  </si>
  <si>
    <t xml:space="preserve">Leading trapped-ion quantum computing company. Govt contracts. If quantum achieves practical advantage = 20x.</t>
  </si>
  <si>
    <t xml:space="preserve">$RGTI</t>
  </si>
  <si>
    <t xml:space="preserve">Rigetti Computing</t>
  </si>
  <si>
    <t xml:space="preserve">~$12</t>
  </si>
  <si>
    <t xml:space="preserve">£800</t>
  </si>
  <si>
    <t xml:space="preserve">Quantum Hardware</t>
  </si>
  <si>
    <t xml:space="preserve">Pure quantum hardware play. Superconducting qubits. ATH was ~$53 in 2025 quantum bubble.</t>
  </si>
  <si>
    <t xml:space="preserve">MTEC.L</t>
  </si>
  <si>
    <t xml:space="preserve">Made Tech</t>
  </si>
  <si>
    <t xml:space="preserve">~45p</t>
  </si>
  <si>
    <t xml:space="preserve">UK Gov Digital</t>
  </si>
  <si>
    <t xml:space="preserve">Helps UK government with digital transformation. NHS, MOD, HMRC clients. 85% profit growth.</t>
  </si>
  <si>
    <t xml:space="preserve">🏗️ CATALYST 5: UKRAINE RECONSTRUCTION &amp; EUROPEAN REBUILD</t>
  </si>
  <si>
    <t xml:space="preserve">SFR.L</t>
  </si>
  <si>
    <t xml:space="preserve">Severfield plc</t>
  </si>
  <si>
    <t xml:space="preserve">~40p</t>
  </si>
  <si>
    <t xml:space="preserve">£450</t>
  </si>
  <si>
    <t xml:space="preserve">Steel / Infrastructure</t>
  </si>
  <si>
    <t xml:space="preserve">UK structural steel contractor. Crashed 50%+ in 2024. If tariff walls boost UK steel + Ukraine rebuild = 8x.</t>
  </si>
  <si>
    <t xml:space="preserve">SKL.L</t>
  </si>
  <si>
    <t xml:space="preserve">Skillcast</t>
  </si>
  <si>
    <t xml:space="preserve">~75p</t>
  </si>
  <si>
    <t xml:space="preserve">Compliance Tech</t>
  </si>
  <si>
    <t xml:space="preserve">Compliance software. Clients: Tesco, Barclays, Schroders. 40% profit growth. Post-war sanctions compliance.</t>
  </si>
  <si>
    <t xml:space="preserve">🌊 CATALYST 6: COMMODITY SUPER-CYCLE &amp; DEEP-SEA MINING</t>
  </si>
  <si>
    <t xml:space="preserve">$TMC</t>
  </si>
  <si>
    <t xml:space="preserve">TMC the Metals Company</t>
  </si>
  <si>
    <t xml:space="preserve">~$3</t>
  </si>
  <si>
    <t xml:space="preserve">Deep-Sea Mining</t>
  </si>
  <si>
    <t xml:space="preserve">Harvesting Co, Ni, Mn, Cu from ocean floor. $30bn+ in polymetallic nodules. If ISA grants license = 50x.</t>
  </si>
  <si>
    <t xml:space="preserve">KOD.L</t>
  </si>
  <si>
    <t xml:space="preserve">Kodal Minerals</t>
  </si>
  <si>
    <t xml:space="preserve">~0.5p</t>
  </si>
  <si>
    <t xml:space="preserve">£500</t>
  </si>
  <si>
    <t xml:space="preserve">West African Lithium</t>
  </si>
  <si>
    <t xml:space="preserve">Sub-penny lithium explorer in Mali. Bougouni project. If lithium returns to 2022 prices = 100x.</t>
  </si>
  <si>
    <t xml:space="preserve">ALL.L</t>
  </si>
  <si>
    <t xml:space="preserve">Atlantic Lithium</t>
  </si>
  <si>
    <t xml:space="preserve">~20p</t>
  </si>
  <si>
    <t xml:space="preserve">Ghana Lithium</t>
  </si>
  <si>
    <t xml:space="preserve">Developing Ewoyaa lithium project in Ghana. Most advanced lithium project in West Africa.</t>
  </si>
  <si>
    <t xml:space="preserve">🚀 CATALYST 7: SPACE &amp; AUTONOMOUS SYSTEMS</t>
  </si>
  <si>
    <t xml:space="preserve">$RKLB</t>
  </si>
  <si>
    <t xml:space="preserve">Rocket Lab USA</t>
  </si>
  <si>
    <t xml:space="preserve">~$24</t>
  </si>
  <si>
    <t xml:space="preserve">Space Launch</t>
  </si>
  <si>
    <t xml:space="preserve">Second most prolific orbital launch provider after SpaceX. Neutron rocket in development.</t>
  </si>
  <si>
    <t xml:space="preserve">$LUNR</t>
  </si>
  <si>
    <t xml:space="preserve">Intuitive Machines</t>
  </si>
  <si>
    <t xml:space="preserve">~$15</t>
  </si>
  <si>
    <t xml:space="preserve">Lunar Economy</t>
  </si>
  <si>
    <t xml:space="preserve">First private US company to land on the Moon. NASA contracts. If lunar economy materialises = 20x.</t>
  </si>
  <si>
    <t xml:space="preserve">🧬 CATALYST 8: BIODEFENCE &amp; PANDEMIC PREPAREDNESS — Next Pandemic Is "When Not If"</t>
  </si>
  <si>
    <t xml:space="preserve">$NVAX</t>
  </si>
  <si>
    <t xml:space="preserve">Novavax Inc</t>
  </si>
  <si>
    <t xml:space="preserve">~$8.76</t>
  </si>
  <si>
    <t xml:space="preserve">Next Pandemic</t>
  </si>
  <si>
    <t xml:space="preserve">Protein-based vaccine platform + Matrix-M adjuvant. Crashed 97% from $331 ATH. Sanofi partnership. Next pandemic reprices overnight.</t>
  </si>
  <si>
    <t xml:space="preserve">⚡ CATALYST 9: HYDROGEN ECONOMY — EU Green Hydrogen Mandates &amp; Heavy Industry Fuel</t>
  </si>
  <si>
    <t xml:space="preserve">ITM.L</t>
  </si>
  <si>
    <t xml:space="preserve">ITM Power plc</t>
  </si>
  <si>
    <t xml:space="preserve">~62p</t>
  </si>
  <si>
    <t xml:space="preserve">Green H2 Mandates</t>
  </si>
  <si>
    <t xml:space="preserve">UK hydrogen pioneer. Record £18M H1 revenue. £152M order backlog. £197M cash. Crashed 90%+ from ATH. EU RED III mandates 42% renewable H2 by 2030.</t>
  </si>
  <si>
    <t xml:space="preserve">$PLUG</t>
  </si>
  <si>
    <t xml:space="preserve">Plug Power Inc</t>
  </si>
  <si>
    <t xml:space="preserve">~$1.87</t>
  </si>
  <si>
    <t xml:space="preserve">H2 Infrastructure</t>
  </si>
  <si>
    <t xml:space="preserve">Green hydrogen fuel cells &amp; electrolyzers. $1.87 vs ATH $75. Rotterdam pipeline operational. If hydrogen economy materialises = 30x+.</t>
  </si>
  <si>
    <t xml:space="preserve">🤖 CATALYST 10: ROBOTICS &amp; HUMANOID AI — $450Bn Autonomous Delivery/Manufacturing</t>
  </si>
  <si>
    <t xml:space="preserve">$SERV</t>
  </si>
  <si>
    <t xml:space="preserve">Serve Robotics Inc</t>
  </si>
  <si>
    <t xml:space="preserve">~$9.18</t>
  </si>
  <si>
    <t xml:space="preserve">Autonomous Delivery</t>
  </si>
  <si>
    <t xml:space="preserve">Level 4 autonomous delivery robots. DoorDash + Uber partnerships. 1,000+ robots deployed. 10x revenue inflection forecast 2026.</t>
  </si>
  <si>
    <t xml:space="preserve">🛰️ CATALYST 11: SATELLITE INTERNET &amp; DIRECT-TO-DEVICE — Phone Coverage Everywhere</t>
  </si>
  <si>
    <t xml:space="preserve">$ASTS</t>
  </si>
  <si>
    <t xml:space="preserve">AST SpaceMobile Inc</t>
  </si>
  <si>
    <t xml:space="preserve">~$84</t>
  </si>
  <si>
    <t xml:space="preserve">Phone-to-Satellite</t>
  </si>
  <si>
    <t xml:space="preserve">BlueBird satellites beam 4G/5G direct to unmodified phones. ATH $129.89. Saudi $175M deal. $1B commercial commitments. If 45-60 sats launch = global coverage.</t>
  </si>
  <si>
    <t xml:space="preserve">🧪 CATALYST 12: PSYCHEDELIC MEDICINE — Psilocybin/MDMA Therapy Legalisation Wave</t>
  </si>
  <si>
    <t xml:space="preserve">$CMPS</t>
  </si>
  <si>
    <t xml:space="preserve">Compass Pathways plc</t>
  </si>
  <si>
    <t xml:space="preserve">~$8</t>
  </si>
  <si>
    <t xml:space="preserve">Psilocybin Approval</t>
  </si>
  <si>
    <t xml:space="preserve">COMP360 psilocybin therapy hit BOTH Phase 3 endpoints for treatment-resistant depression. NDA submission planned. FDA breakthrough designation. If approved = first psychedelic medicine.</t>
  </si>
  <si>
    <t xml:space="preserve">$ATAI</t>
  </si>
  <si>
    <t xml:space="preserve">AtaiBeckley Inc</t>
  </si>
  <si>
    <t xml:space="preserve">~$3.88</t>
  </si>
  <si>
    <t xml:space="preserve">Psychedelic Pipeline</t>
  </si>
  <si>
    <t xml:space="preserve">Peter Thiel-backed. 10 psychedelic programs. BPL-003 Phase 3 ready. Major shareholder in Compass. Analyst target $13.86. If legalisation cascades = 20x+.</t>
  </si>
  <si>
    <t xml:space="preserve">🧊 CATALYST 13: POST-QUANTUM CRYPTOGRAPHY &amp; CARBON TECH</t>
  </si>
  <si>
    <t xml:space="preserve">$LAES</t>
  </si>
  <si>
    <t xml:space="preserve">SEALSQ Corp</t>
  </si>
  <si>
    <t xml:space="preserve">~$3.77</t>
  </si>
  <si>
    <t xml:space="preserve">Post-Quantum Chips</t>
  </si>
  <si>
    <t xml:space="preserve">Post-quantum semiconductor company. QS7001 chip in development. "Harvest now, decrypt later" threat forces govt upgrade. If quantum threat materialises = 15x+.</t>
  </si>
  <si>
    <t xml:space="preserve">🏥 CATALYST 14: LONGEVITY &amp; ANTI-AGEING — Largest Addressable Market in History</t>
  </si>
  <si>
    <t xml:space="preserve">AtaiBeckley (Longevity/Mental)</t>
  </si>
  <si>
    <t xml:space="preserve">(Already held above under Psychedelics — double exposure to mental health megatrend)</t>
  </si>
  <si>
    <t xml:space="preserve">🌾 CATALYST 15: FOOD SECURITY &amp; AGRITECH — Climate, Lab-Grown Protein &amp; Vertical Farming</t>
  </si>
  <si>
    <t xml:space="preserve">ANIC.L</t>
  </si>
  <si>
    <t xml:space="preserve">Agronomics Ltd</t>
  </si>
  <si>
    <t xml:space="preserve">~8p</t>
  </si>
  <si>
    <t xml:space="preserve">Lab-Grown Meat</t>
  </si>
  <si>
    <t xml:space="preserve">AIM-listed investor in lab-grown meat companies (incl. Mosa Meat, BlueNalu). If regulatory approval cascades globally + scaling = 20x.</t>
  </si>
  <si>
    <t xml:space="preserve">TOTAL</t>
  </si>
  <si>
    <t xml:space="preserve">30 Bets (29 unique + 1 double-exposed)</t>
  </si>
  <si>
    <t xml:space="preserve">All GIA</t>
  </si>
  <si>
    <t xml:space="preserve">17 Catalysts</t>
  </si>
  <si>
    <t xml:space="preserve">Avg: ~4.5x</t>
  </si>
  <si>
    <t xml:space="preserve">📊 SCENARIO ANALYSIS: "The Chaos Math" — EXPANDED</t>
  </si>
  <si>
    <t xml:space="preserve">🔴 Worst Case (70%)</t>
  </si>
  <si>
    <t xml:space="preserve">20 of 30 fail, 10 survivors average 2x = £3,500 net (-50%). CGT losses offset other portfolios.</t>
  </si>
  <si>
    <t xml:space="preserve">🟡 Base Case (25%)</t>
  </si>
  <si>
    <t xml:space="preserve">15 fail, 5 break even, 10 hit 3-5x = £12,000 net (+74%). Multiple catalyst convergence.</t>
  </si>
  <si>
    <t xml:space="preserve">🟢 Bull Case (5%)</t>
  </si>
  <si>
    <t xml:space="preserve">3-4 catalysts hit hard, 5 stocks do 10x+, 10 do 3-5x = £25,000-£40,000+ (4-6x total).</t>
  </si>
  <si>
    <t xml:space="preserve">🧮 The Math</t>
  </si>
  <si>
    <t xml:space="preserve">Even if 80% goes to zero, three 10x winners on £200 bets = £6,000, recovering 87% of portfolio.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</si>
</sst>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666666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2"/>
      <color rgb="FF1A1A2E"/>
      <name val="Arial"/>
      <family val="0"/>
      <charset val="1"/>
    </font>
    <font>
      <b val="true"/>
      <sz val="10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C0392B"/>
        <bgColor rgb="FFE74C3C"/>
      </patternFill>
    </fill>
    <fill>
      <patternFill patternType="solid">
        <fgColor rgb="FFF8F9FA"/>
        <bgColor rgb="FFFFFFFF"/>
      </patternFill>
    </fill>
    <fill>
      <patternFill patternType="solid">
        <fgColor rgb="FFEEF2F7"/>
        <bgColor rgb="FFF0F0F0"/>
      </patternFill>
    </fill>
    <fill>
      <patternFill patternType="solid">
        <fgColor rgb="FF8E44AD"/>
        <bgColor rgb="FF9B59B6"/>
      </patternFill>
    </fill>
    <fill>
      <patternFill patternType="solid">
        <fgColor rgb="FFD35400"/>
        <bgColor rgb="FFE74C3C"/>
      </patternFill>
    </fill>
    <fill>
      <patternFill patternType="solid">
        <fgColor rgb="FF2980B9"/>
        <bgColor rgb="FF3498DB"/>
      </patternFill>
    </fill>
    <fill>
      <patternFill patternType="solid">
        <fgColor rgb="FF27AE60"/>
        <bgColor rgb="FF4CAF50"/>
      </patternFill>
    </fill>
    <fill>
      <patternFill patternType="solid">
        <fgColor rgb="FF2C3E50"/>
        <bgColor rgb="FF34495E"/>
      </patternFill>
    </fill>
    <fill>
      <patternFill patternType="solid">
        <fgColor rgb="FF1ABC9C"/>
        <bgColor rgb="FF27AE60"/>
      </patternFill>
    </fill>
    <fill>
      <patternFill patternType="solid">
        <fgColor rgb="FFE74C3C"/>
        <bgColor rgb="FFD35400"/>
      </patternFill>
    </fill>
    <fill>
      <patternFill patternType="solid">
        <fgColor rgb="FF3498DB"/>
        <bgColor rgb="FF2980B9"/>
      </patternFill>
    </fill>
    <fill>
      <patternFill patternType="solid">
        <fgColor rgb="FF9B59B6"/>
        <bgColor rgb="FF8E44AD"/>
      </patternFill>
    </fill>
    <fill>
      <patternFill patternType="solid">
        <fgColor rgb="FFE67E22"/>
        <bgColor rgb="FFD35400"/>
      </patternFill>
    </fill>
    <fill>
      <patternFill patternType="solid">
        <fgColor rgb="FF34495E"/>
        <bgColor rgb="FF2C3E50"/>
      </patternFill>
    </fill>
    <fill>
      <patternFill patternType="solid">
        <fgColor rgb="FFE91E63"/>
        <bgColor rgb="FFC0392B"/>
      </patternFill>
    </fill>
    <fill>
      <patternFill patternType="solid">
        <fgColor rgb="FF4CAF50"/>
        <bgColor rgb="FF27AE60"/>
      </patternFill>
    </fill>
    <fill>
      <patternFill patternType="solid">
        <fgColor rgb="FFF0F0F0"/>
        <bgColor rgb="FFEEF2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1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9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2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91E6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CAF50"/>
      <rgbColor rgb="FF800080"/>
      <rgbColor rgb="FF2980B9"/>
      <rgbColor rgb="FFCCCCCC"/>
      <rgbColor rgb="FF888888"/>
      <rgbColor rgb="FF9999FF"/>
      <rgbColor rgb="FF8E44AD"/>
      <rgbColor rgb="FFF8F9FA"/>
      <rgbColor rgb="FFEEF2F7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CCFFCC"/>
      <rgbColor rgb="FFFFFF99"/>
      <rgbColor rgb="FF99CCFF"/>
      <rgbColor rgb="FFFF99CC"/>
      <rgbColor rgb="FFCC99FF"/>
      <rgbColor rgb="FFFFCC99"/>
      <rgbColor rgb="FF3498DB"/>
      <rgbColor rgb="FF1ABC9C"/>
      <rgbColor rgb="FF99CC00"/>
      <rgbColor rgb="FFFFCC00"/>
      <rgbColor rgb="FFD35400"/>
      <rgbColor rgb="FFE67E22"/>
      <rgbColor rgb="FF666666"/>
      <rgbColor rgb="FF999999"/>
      <rgbColor rgb="FF16213E"/>
      <rgbColor rgb="FF27AE60"/>
      <rgbColor rgb="FF003300"/>
      <rgbColor rgb="FF1A1A2E"/>
      <rgbColor rgb="FFC0392B"/>
      <rgbColor rgb="FF9B59B6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8"/>
    <col collapsed="false" customWidth="true" hidden="false" outlineLevel="0" max="5" min="4" style="1" width="14"/>
    <col collapsed="false" customWidth="true" hidden="false" outlineLevel="0" max="6" min="6" style="1" width="16"/>
    <col collapsed="false" customWidth="true" hidden="false" outlineLevel="0" max="7" min="7" style="1" width="22"/>
    <col collapsed="false" customWidth="true" hidden="false" outlineLevel="0" max="9" min="8" style="1" width="12"/>
    <col collapsed="false" customWidth="true" hidden="false" outlineLevel="0" max="10" min="10" style="1" width="55"/>
  </cols>
  <sheetData>
    <row r="1" customFormat="false" ht="34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5" customFormat="false" ht="30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customFormat="false" ht="27.75" hidden="false" customHeight="true" outlineLevel="0" collapsed="false">
      <c r="A6" s="6" t="s">
        <v>13</v>
      </c>
      <c r="B6" s="6"/>
      <c r="C6" s="6"/>
      <c r="D6" s="6"/>
      <c r="E6" s="6"/>
      <c r="F6" s="6"/>
      <c r="G6" s="6"/>
      <c r="H6" s="6"/>
      <c r="I6" s="6"/>
      <c r="J6" s="6"/>
    </row>
    <row r="7" customFormat="false" ht="49.5" hidden="false" customHeight="true" outlineLevel="0" collapsed="false">
      <c r="A7" s="7" t="s">
        <v>14</v>
      </c>
      <c r="B7" s="8" t="s">
        <v>15</v>
      </c>
      <c r="C7" s="8" t="s">
        <v>16</v>
      </c>
      <c r="D7" s="8" t="s">
        <v>17</v>
      </c>
      <c r="E7" s="8" t="n">
        <v>300</v>
      </c>
      <c r="F7" s="8" t="s">
        <v>18</v>
      </c>
      <c r="G7" s="8" t="s">
        <v>19</v>
      </c>
      <c r="H7" s="7" t="s">
        <v>20</v>
      </c>
      <c r="I7" s="8" t="s">
        <v>21</v>
      </c>
      <c r="J7" s="9" t="s">
        <v>22</v>
      </c>
    </row>
    <row r="8" customFormat="false" ht="49.5" hidden="false" customHeight="true" outlineLevel="0" collapsed="false">
      <c r="A8" s="10" t="s">
        <v>23</v>
      </c>
      <c r="B8" s="11" t="s">
        <v>24</v>
      </c>
      <c r="C8" s="11" t="s">
        <v>16</v>
      </c>
      <c r="D8" s="11" t="s">
        <v>25</v>
      </c>
      <c r="E8" s="11" t="n">
        <v>300</v>
      </c>
      <c r="F8" s="11" t="s">
        <v>26</v>
      </c>
      <c r="G8" s="11" t="s">
        <v>27</v>
      </c>
      <c r="H8" s="10" t="s">
        <v>28</v>
      </c>
      <c r="I8" s="11" t="s">
        <v>29</v>
      </c>
      <c r="J8" s="12" t="s">
        <v>30</v>
      </c>
    </row>
    <row r="9" customFormat="false" ht="49.5" hidden="false" customHeight="true" outlineLevel="0" collapsed="false">
      <c r="A9" s="7" t="s">
        <v>31</v>
      </c>
      <c r="B9" s="8" t="s">
        <v>32</v>
      </c>
      <c r="C9" s="8" t="s">
        <v>16</v>
      </c>
      <c r="D9" s="8" t="s">
        <v>33</v>
      </c>
      <c r="E9" s="8" t="n">
        <v>200</v>
      </c>
      <c r="F9" s="8" t="s">
        <v>34</v>
      </c>
      <c r="G9" s="8" t="s">
        <v>35</v>
      </c>
      <c r="H9" s="7" t="s">
        <v>20</v>
      </c>
      <c r="I9" s="8" t="s">
        <v>21</v>
      </c>
      <c r="J9" s="9" t="s">
        <v>36</v>
      </c>
    </row>
    <row r="10" customFormat="false" ht="49.5" hidden="false" customHeight="true" outlineLevel="0" collapsed="false">
      <c r="A10" s="10" t="s">
        <v>37</v>
      </c>
      <c r="B10" s="11" t="s">
        <v>38</v>
      </c>
      <c r="C10" s="11" t="s">
        <v>16</v>
      </c>
      <c r="D10" s="11" t="s">
        <v>39</v>
      </c>
      <c r="E10" s="11" t="n">
        <v>250</v>
      </c>
      <c r="F10" s="11" t="s">
        <v>40</v>
      </c>
      <c r="G10" s="11" t="s">
        <v>41</v>
      </c>
      <c r="H10" s="10" t="s">
        <v>42</v>
      </c>
      <c r="I10" s="11" t="s">
        <v>29</v>
      </c>
      <c r="J10" s="12" t="s">
        <v>43</v>
      </c>
    </row>
    <row r="11" customFormat="false" ht="27.75" hidden="false" customHeight="true" outlineLevel="0" collapsed="false">
      <c r="A11" s="13" t="s">
        <v>44</v>
      </c>
      <c r="B11" s="13"/>
      <c r="C11" s="13"/>
      <c r="D11" s="13"/>
      <c r="E11" s="13"/>
      <c r="F11" s="13"/>
      <c r="G11" s="13"/>
      <c r="H11" s="13"/>
      <c r="I11" s="13"/>
      <c r="J11" s="13"/>
    </row>
    <row r="12" customFormat="false" ht="49.5" hidden="false" customHeight="true" outlineLevel="0" collapsed="false">
      <c r="A12" s="7" t="s">
        <v>45</v>
      </c>
      <c r="B12" s="8" t="s">
        <v>46</v>
      </c>
      <c r="C12" s="8" t="s">
        <v>16</v>
      </c>
      <c r="D12" s="8" t="s">
        <v>47</v>
      </c>
      <c r="E12" s="8" t="n">
        <v>350</v>
      </c>
      <c r="F12" s="8" t="s">
        <v>48</v>
      </c>
      <c r="G12" s="8" t="s">
        <v>49</v>
      </c>
      <c r="H12" s="7" t="s">
        <v>20</v>
      </c>
      <c r="I12" s="8" t="s">
        <v>21</v>
      </c>
      <c r="J12" s="9" t="s">
        <v>50</v>
      </c>
    </row>
    <row r="13" customFormat="false" ht="49.5" hidden="false" customHeight="true" outlineLevel="0" collapsed="false">
      <c r="A13" s="10" t="s">
        <v>51</v>
      </c>
      <c r="B13" s="11" t="s">
        <v>52</v>
      </c>
      <c r="C13" s="11" t="s">
        <v>16</v>
      </c>
      <c r="D13" s="11" t="s">
        <v>53</v>
      </c>
      <c r="E13" s="11" t="n">
        <v>250</v>
      </c>
      <c r="F13" s="11" t="s">
        <v>54</v>
      </c>
      <c r="G13" s="11" t="s">
        <v>55</v>
      </c>
      <c r="H13" s="10" t="s">
        <v>20</v>
      </c>
      <c r="I13" s="11" t="s">
        <v>21</v>
      </c>
      <c r="J13" s="12" t="s">
        <v>56</v>
      </c>
    </row>
    <row r="14" customFormat="false" ht="49.5" hidden="false" customHeight="true" outlineLevel="0" collapsed="false">
      <c r="A14" s="7" t="s">
        <v>57</v>
      </c>
      <c r="B14" s="8" t="s">
        <v>58</v>
      </c>
      <c r="C14" s="8" t="s">
        <v>16</v>
      </c>
      <c r="D14" s="8" t="s">
        <v>59</v>
      </c>
      <c r="E14" s="8" t="n">
        <v>250</v>
      </c>
      <c r="F14" s="8" t="s">
        <v>34</v>
      </c>
      <c r="G14" s="8" t="s">
        <v>60</v>
      </c>
      <c r="H14" s="7" t="s">
        <v>28</v>
      </c>
      <c r="I14" s="8" t="s">
        <v>21</v>
      </c>
      <c r="J14" s="9" t="s">
        <v>61</v>
      </c>
    </row>
    <row r="15" customFormat="false" ht="27.75" hidden="false" customHeight="true" outlineLevel="0" collapsed="false">
      <c r="A15" s="14" t="s">
        <v>62</v>
      </c>
      <c r="B15" s="14"/>
      <c r="C15" s="14"/>
      <c r="D15" s="14"/>
      <c r="E15" s="14"/>
      <c r="F15" s="14"/>
      <c r="G15" s="14"/>
      <c r="H15" s="14"/>
      <c r="I15" s="14"/>
      <c r="J15" s="14"/>
    </row>
    <row r="16" customFormat="false" ht="49.5" hidden="false" customHeight="true" outlineLevel="0" collapsed="false">
      <c r="A16" s="7" t="s">
        <v>63</v>
      </c>
      <c r="B16" s="8" t="s">
        <v>64</v>
      </c>
      <c r="C16" s="8" t="s">
        <v>16</v>
      </c>
      <c r="D16" s="8" t="s">
        <v>59</v>
      </c>
      <c r="E16" s="8" t="n">
        <v>300</v>
      </c>
      <c r="F16" s="8" t="s">
        <v>18</v>
      </c>
      <c r="G16" s="8" t="s">
        <v>65</v>
      </c>
      <c r="H16" s="7" t="s">
        <v>20</v>
      </c>
      <c r="I16" s="8" t="s">
        <v>29</v>
      </c>
      <c r="J16" s="9" t="s">
        <v>66</v>
      </c>
    </row>
    <row r="17" customFormat="false" ht="49.5" hidden="false" customHeight="true" outlineLevel="0" collapsed="false">
      <c r="A17" s="10" t="s">
        <v>67</v>
      </c>
      <c r="B17" s="11" t="s">
        <v>68</v>
      </c>
      <c r="C17" s="11" t="s">
        <v>16</v>
      </c>
      <c r="D17" s="11" t="s">
        <v>69</v>
      </c>
      <c r="E17" s="11" t="n">
        <v>200</v>
      </c>
      <c r="F17" s="11" t="s">
        <v>70</v>
      </c>
      <c r="G17" s="11" t="s">
        <v>71</v>
      </c>
      <c r="H17" s="10" t="s">
        <v>42</v>
      </c>
      <c r="I17" s="11" t="s">
        <v>21</v>
      </c>
      <c r="J17" s="12" t="s">
        <v>72</v>
      </c>
    </row>
    <row r="18" customFormat="false" ht="49.5" hidden="false" customHeight="true" outlineLevel="0" collapsed="false">
      <c r="A18" s="7" t="s">
        <v>73</v>
      </c>
      <c r="B18" s="8" t="s">
        <v>74</v>
      </c>
      <c r="C18" s="8" t="s">
        <v>16</v>
      </c>
      <c r="D18" s="8" t="s">
        <v>75</v>
      </c>
      <c r="E18" s="8" t="n">
        <v>200</v>
      </c>
      <c r="F18" s="8" t="s">
        <v>34</v>
      </c>
      <c r="G18" s="8" t="s">
        <v>76</v>
      </c>
      <c r="H18" s="7" t="s">
        <v>20</v>
      </c>
      <c r="I18" s="8" t="s">
        <v>21</v>
      </c>
      <c r="J18" s="9" t="s">
        <v>77</v>
      </c>
    </row>
    <row r="19" customFormat="false" ht="27.75" hidden="false" customHeight="true" outlineLevel="0" collapsed="false">
      <c r="A19" s="15" t="s">
        <v>78</v>
      </c>
      <c r="B19" s="15"/>
      <c r="C19" s="15"/>
      <c r="D19" s="15"/>
      <c r="E19" s="15"/>
      <c r="F19" s="15"/>
      <c r="G19" s="15"/>
      <c r="H19" s="15"/>
      <c r="I19" s="15"/>
      <c r="J19" s="15"/>
    </row>
    <row r="20" customFormat="false" ht="49.5" hidden="false" customHeight="true" outlineLevel="0" collapsed="false">
      <c r="A20" s="7" t="s">
        <v>79</v>
      </c>
      <c r="B20" s="8" t="s">
        <v>80</v>
      </c>
      <c r="C20" s="8" t="s">
        <v>16</v>
      </c>
      <c r="D20" s="8" t="s">
        <v>81</v>
      </c>
      <c r="E20" s="8" t="n">
        <v>250</v>
      </c>
      <c r="F20" s="8" t="s">
        <v>34</v>
      </c>
      <c r="G20" s="8" t="s">
        <v>82</v>
      </c>
      <c r="H20" s="7" t="s">
        <v>28</v>
      </c>
      <c r="I20" s="8" t="s">
        <v>21</v>
      </c>
      <c r="J20" s="9" t="s">
        <v>83</v>
      </c>
    </row>
    <row r="21" customFormat="false" ht="49.5" hidden="false" customHeight="true" outlineLevel="0" collapsed="false">
      <c r="A21" s="10" t="s">
        <v>84</v>
      </c>
      <c r="B21" s="11" t="s">
        <v>85</v>
      </c>
      <c r="C21" s="11" t="s">
        <v>16</v>
      </c>
      <c r="D21" s="11" t="s">
        <v>86</v>
      </c>
      <c r="E21" s="11" t="n">
        <v>200</v>
      </c>
      <c r="F21" s="11" t="s">
        <v>87</v>
      </c>
      <c r="G21" s="11" t="s">
        <v>88</v>
      </c>
      <c r="H21" s="10" t="s">
        <v>28</v>
      </c>
      <c r="I21" s="11" t="s">
        <v>21</v>
      </c>
      <c r="J21" s="12" t="s">
        <v>89</v>
      </c>
    </row>
    <row r="22" customFormat="false" ht="49.5" hidden="false" customHeight="true" outlineLevel="0" collapsed="false">
      <c r="A22" s="7" t="s">
        <v>90</v>
      </c>
      <c r="B22" s="8" t="s">
        <v>91</v>
      </c>
      <c r="C22" s="8" t="s">
        <v>16</v>
      </c>
      <c r="D22" s="8" t="s">
        <v>92</v>
      </c>
      <c r="E22" s="8" t="n">
        <v>150</v>
      </c>
      <c r="F22" s="8" t="s">
        <v>40</v>
      </c>
      <c r="G22" s="8" t="s">
        <v>93</v>
      </c>
      <c r="H22" s="7" t="s">
        <v>20</v>
      </c>
      <c r="I22" s="8" t="s">
        <v>29</v>
      </c>
      <c r="J22" s="9" t="s">
        <v>94</v>
      </c>
    </row>
    <row r="23" customFormat="false" ht="27.75" hidden="false" customHeight="true" outlineLevel="0" collapsed="false">
      <c r="A23" s="16" t="s">
        <v>95</v>
      </c>
      <c r="B23" s="16"/>
      <c r="C23" s="16"/>
      <c r="D23" s="16"/>
      <c r="E23" s="16"/>
      <c r="F23" s="16"/>
      <c r="G23" s="16"/>
      <c r="H23" s="16"/>
      <c r="I23" s="16"/>
      <c r="J23" s="16"/>
    </row>
    <row r="24" customFormat="false" ht="49.5" hidden="false" customHeight="true" outlineLevel="0" collapsed="false">
      <c r="A24" s="7" t="s">
        <v>96</v>
      </c>
      <c r="B24" s="8" t="s">
        <v>97</v>
      </c>
      <c r="C24" s="8" t="s">
        <v>16</v>
      </c>
      <c r="D24" s="8" t="s">
        <v>98</v>
      </c>
      <c r="E24" s="8" t="n">
        <v>150</v>
      </c>
      <c r="F24" s="8" t="s">
        <v>99</v>
      </c>
      <c r="G24" s="8" t="s">
        <v>100</v>
      </c>
      <c r="H24" s="7" t="s">
        <v>42</v>
      </c>
      <c r="I24" s="8" t="s">
        <v>29</v>
      </c>
      <c r="J24" s="9" t="s">
        <v>101</v>
      </c>
    </row>
    <row r="25" customFormat="false" ht="49.5" hidden="false" customHeight="true" outlineLevel="0" collapsed="false">
      <c r="A25" s="10" t="s">
        <v>102</v>
      </c>
      <c r="B25" s="11" t="s">
        <v>103</v>
      </c>
      <c r="C25" s="11" t="s">
        <v>16</v>
      </c>
      <c r="D25" s="11" t="s">
        <v>104</v>
      </c>
      <c r="E25" s="11" t="n">
        <v>150</v>
      </c>
      <c r="F25" s="11" t="s">
        <v>70</v>
      </c>
      <c r="G25" s="11" t="s">
        <v>105</v>
      </c>
      <c r="H25" s="10" t="s">
        <v>28</v>
      </c>
      <c r="I25" s="11" t="s">
        <v>29</v>
      </c>
      <c r="J25" s="12" t="s">
        <v>106</v>
      </c>
    </row>
    <row r="26" customFormat="false" ht="27.75" hidden="false" customHeight="true" outlineLevel="0" collapsed="false">
      <c r="A26" s="17" t="s">
        <v>107</v>
      </c>
      <c r="B26" s="17"/>
      <c r="C26" s="17"/>
      <c r="D26" s="17"/>
      <c r="E26" s="17"/>
      <c r="F26" s="17"/>
      <c r="G26" s="17"/>
      <c r="H26" s="17"/>
      <c r="I26" s="17"/>
      <c r="J26" s="17"/>
    </row>
    <row r="27" customFormat="false" ht="49.5" hidden="false" customHeight="true" outlineLevel="0" collapsed="false">
      <c r="A27" s="7" t="s">
        <v>108</v>
      </c>
      <c r="B27" s="8" t="s">
        <v>109</v>
      </c>
      <c r="C27" s="8" t="s">
        <v>16</v>
      </c>
      <c r="D27" s="8" t="s">
        <v>110</v>
      </c>
      <c r="E27" s="8" t="n">
        <v>200</v>
      </c>
      <c r="F27" s="8" t="s">
        <v>34</v>
      </c>
      <c r="G27" s="8" t="s">
        <v>111</v>
      </c>
      <c r="H27" s="7" t="s">
        <v>20</v>
      </c>
      <c r="I27" s="8" t="s">
        <v>21</v>
      </c>
      <c r="J27" s="9" t="s">
        <v>112</v>
      </c>
    </row>
    <row r="28" customFormat="false" ht="49.5" hidden="false" customHeight="true" outlineLevel="0" collapsed="false">
      <c r="A28" s="10" t="s">
        <v>113</v>
      </c>
      <c r="B28" s="11" t="s">
        <v>114</v>
      </c>
      <c r="C28" s="11" t="s">
        <v>16</v>
      </c>
      <c r="D28" s="11" t="s">
        <v>115</v>
      </c>
      <c r="E28" s="11" t="n">
        <v>100</v>
      </c>
      <c r="F28" s="11" t="s">
        <v>116</v>
      </c>
      <c r="G28" s="11" t="s">
        <v>117</v>
      </c>
      <c r="H28" s="10" t="s">
        <v>20</v>
      </c>
      <c r="I28" s="11" t="s">
        <v>21</v>
      </c>
      <c r="J28" s="12" t="s">
        <v>118</v>
      </c>
    </row>
    <row r="29" customFormat="false" ht="49.5" hidden="false" customHeight="true" outlineLevel="0" collapsed="false">
      <c r="A29" s="7" t="s">
        <v>119</v>
      </c>
      <c r="B29" s="8" t="s">
        <v>120</v>
      </c>
      <c r="C29" s="8" t="s">
        <v>16</v>
      </c>
      <c r="D29" s="8" t="s">
        <v>121</v>
      </c>
      <c r="E29" s="8" t="n">
        <v>150</v>
      </c>
      <c r="F29" s="8" t="s">
        <v>40</v>
      </c>
      <c r="G29" s="8" t="s">
        <v>122</v>
      </c>
      <c r="H29" s="7" t="s">
        <v>20</v>
      </c>
      <c r="I29" s="8" t="s">
        <v>21</v>
      </c>
      <c r="J29" s="9" t="s">
        <v>123</v>
      </c>
    </row>
    <row r="30" customFormat="false" ht="27.75" hidden="false" customHeight="true" outlineLevel="0" collapsed="false">
      <c r="A30" s="18" t="s">
        <v>124</v>
      </c>
      <c r="B30" s="18"/>
      <c r="C30" s="18"/>
      <c r="D30" s="18"/>
      <c r="E30" s="18"/>
      <c r="F30" s="18"/>
      <c r="G30" s="18"/>
      <c r="H30" s="18"/>
      <c r="I30" s="18"/>
      <c r="J30" s="18"/>
    </row>
    <row r="31" customFormat="false" ht="49.5" hidden="false" customHeight="true" outlineLevel="0" collapsed="false">
      <c r="A31" s="7" t="s">
        <v>125</v>
      </c>
      <c r="B31" s="8" t="s">
        <v>126</v>
      </c>
      <c r="C31" s="8" t="s">
        <v>16</v>
      </c>
      <c r="D31" s="8" t="s">
        <v>127</v>
      </c>
      <c r="E31" s="8" t="n">
        <v>250</v>
      </c>
      <c r="F31" s="8" t="s">
        <v>34</v>
      </c>
      <c r="G31" s="8" t="s">
        <v>128</v>
      </c>
      <c r="H31" s="7" t="s">
        <v>28</v>
      </c>
      <c r="I31" s="8" t="s">
        <v>29</v>
      </c>
      <c r="J31" s="9" t="s">
        <v>129</v>
      </c>
    </row>
    <row r="32" customFormat="false" ht="49.5" hidden="false" customHeight="true" outlineLevel="0" collapsed="false">
      <c r="A32" s="10" t="s">
        <v>130</v>
      </c>
      <c r="B32" s="11" t="s">
        <v>131</v>
      </c>
      <c r="C32" s="11" t="s">
        <v>16</v>
      </c>
      <c r="D32" s="11" t="s">
        <v>132</v>
      </c>
      <c r="E32" s="11" t="n">
        <v>200</v>
      </c>
      <c r="F32" s="11" t="s">
        <v>87</v>
      </c>
      <c r="G32" s="11" t="s">
        <v>133</v>
      </c>
      <c r="H32" s="10" t="s">
        <v>28</v>
      </c>
      <c r="I32" s="11" t="s">
        <v>21</v>
      </c>
      <c r="J32" s="12" t="s">
        <v>134</v>
      </c>
    </row>
    <row r="33" customFormat="false" ht="27.75" hidden="false" customHeight="true" outlineLevel="0" collapsed="false">
      <c r="A33" s="19" t="s">
        <v>135</v>
      </c>
      <c r="B33" s="19"/>
      <c r="C33" s="19"/>
      <c r="D33" s="19"/>
      <c r="E33" s="19"/>
      <c r="F33" s="19"/>
      <c r="G33" s="19"/>
      <c r="H33" s="19"/>
      <c r="I33" s="19"/>
      <c r="J33" s="19"/>
    </row>
    <row r="34" customFormat="false" ht="49.5" hidden="false" customHeight="true" outlineLevel="0" collapsed="false">
      <c r="A34" s="7" t="s">
        <v>136</v>
      </c>
      <c r="B34" s="8" t="s">
        <v>137</v>
      </c>
      <c r="C34" s="8" t="s">
        <v>16</v>
      </c>
      <c r="D34" s="8" t="s">
        <v>138</v>
      </c>
      <c r="E34" s="8" t="n">
        <v>150</v>
      </c>
      <c r="F34" s="8" t="s">
        <v>40</v>
      </c>
      <c r="G34" s="8" t="s">
        <v>139</v>
      </c>
      <c r="H34" s="7" t="s">
        <v>20</v>
      </c>
      <c r="I34" s="8" t="s">
        <v>21</v>
      </c>
      <c r="J34" s="9" t="s">
        <v>140</v>
      </c>
    </row>
    <row r="35" customFormat="false" ht="27.75" hidden="false" customHeight="true" outlineLevel="0" collapsed="false">
      <c r="A35" s="20" t="s">
        <v>141</v>
      </c>
      <c r="B35" s="20"/>
      <c r="C35" s="20"/>
      <c r="D35" s="20"/>
      <c r="E35" s="20"/>
      <c r="F35" s="20"/>
      <c r="G35" s="20"/>
      <c r="H35" s="20"/>
      <c r="I35" s="20"/>
      <c r="J35" s="20"/>
    </row>
    <row r="36" customFormat="false" ht="49.5" hidden="false" customHeight="true" outlineLevel="0" collapsed="false">
      <c r="A36" s="7" t="s">
        <v>142</v>
      </c>
      <c r="B36" s="8" t="s">
        <v>143</v>
      </c>
      <c r="C36" s="8" t="s">
        <v>16</v>
      </c>
      <c r="D36" s="8" t="s">
        <v>144</v>
      </c>
      <c r="E36" s="8" t="n">
        <v>150</v>
      </c>
      <c r="F36" s="8" t="s">
        <v>70</v>
      </c>
      <c r="G36" s="8" t="s">
        <v>145</v>
      </c>
      <c r="H36" s="7" t="s">
        <v>28</v>
      </c>
      <c r="I36" s="8" t="s">
        <v>21</v>
      </c>
      <c r="J36" s="9" t="s">
        <v>146</v>
      </c>
    </row>
    <row r="37" customFormat="false" ht="49.5" hidden="false" customHeight="true" outlineLevel="0" collapsed="false">
      <c r="A37" s="10" t="s">
        <v>147</v>
      </c>
      <c r="B37" s="11" t="s">
        <v>148</v>
      </c>
      <c r="C37" s="11" t="s">
        <v>16</v>
      </c>
      <c r="D37" s="11" t="s">
        <v>149</v>
      </c>
      <c r="E37" s="11" t="n">
        <v>100</v>
      </c>
      <c r="F37" s="11" t="s">
        <v>116</v>
      </c>
      <c r="G37" s="11" t="s">
        <v>150</v>
      </c>
      <c r="H37" s="10" t="s">
        <v>20</v>
      </c>
      <c r="I37" s="11" t="s">
        <v>21</v>
      </c>
      <c r="J37" s="12" t="s">
        <v>151</v>
      </c>
    </row>
    <row r="38" customFormat="false" ht="27.75" hidden="false" customHeight="true" outlineLevel="0" collapsed="false">
      <c r="A38" s="21" t="s">
        <v>152</v>
      </c>
      <c r="B38" s="21"/>
      <c r="C38" s="21"/>
      <c r="D38" s="21"/>
      <c r="E38" s="21"/>
      <c r="F38" s="21"/>
      <c r="G38" s="21"/>
      <c r="H38" s="21"/>
      <c r="I38" s="21"/>
      <c r="J38" s="21"/>
    </row>
    <row r="39" customFormat="false" ht="49.5" hidden="false" customHeight="true" outlineLevel="0" collapsed="false">
      <c r="A39" s="7" t="s">
        <v>153</v>
      </c>
      <c r="B39" s="8" t="s">
        <v>154</v>
      </c>
      <c r="C39" s="8" t="s">
        <v>16</v>
      </c>
      <c r="D39" s="8" t="s">
        <v>155</v>
      </c>
      <c r="E39" s="8" t="n">
        <v>150</v>
      </c>
      <c r="F39" s="8" t="s">
        <v>40</v>
      </c>
      <c r="G39" s="8" t="s">
        <v>156</v>
      </c>
      <c r="H39" s="7" t="s">
        <v>20</v>
      </c>
      <c r="I39" s="8" t="s">
        <v>21</v>
      </c>
      <c r="J39" s="9" t="s">
        <v>157</v>
      </c>
    </row>
    <row r="40" customFormat="false" ht="27.75" hidden="false" customHeight="true" outlineLevel="0" collapsed="false">
      <c r="A40" s="22" t="s">
        <v>158</v>
      </c>
      <c r="B40" s="22"/>
      <c r="C40" s="22"/>
      <c r="D40" s="22"/>
      <c r="E40" s="22"/>
      <c r="F40" s="22"/>
      <c r="G40" s="22"/>
      <c r="H40" s="22"/>
      <c r="I40" s="22"/>
      <c r="J40" s="22"/>
    </row>
    <row r="41" customFormat="false" ht="49.5" hidden="false" customHeight="true" outlineLevel="0" collapsed="false">
      <c r="A41" s="7" t="s">
        <v>159</v>
      </c>
      <c r="B41" s="8" t="s">
        <v>160</v>
      </c>
      <c r="C41" s="8" t="s">
        <v>16</v>
      </c>
      <c r="D41" s="8" t="s">
        <v>161</v>
      </c>
      <c r="E41" s="8" t="n">
        <v>200</v>
      </c>
      <c r="F41" s="8" t="s">
        <v>70</v>
      </c>
      <c r="G41" s="8" t="s">
        <v>162</v>
      </c>
      <c r="H41" s="7" t="s">
        <v>42</v>
      </c>
      <c r="I41" s="8" t="s">
        <v>21</v>
      </c>
      <c r="J41" s="9" t="s">
        <v>163</v>
      </c>
    </row>
    <row r="42" customFormat="false" ht="27.75" hidden="false" customHeight="true" outlineLevel="0" collapsed="false">
      <c r="A42" s="18" t="s">
        <v>164</v>
      </c>
      <c r="B42" s="18"/>
      <c r="C42" s="18"/>
      <c r="D42" s="18"/>
      <c r="E42" s="18"/>
      <c r="F42" s="18"/>
      <c r="G42" s="18"/>
      <c r="H42" s="18"/>
      <c r="I42" s="18"/>
      <c r="J42" s="18"/>
    </row>
    <row r="43" customFormat="false" ht="49.5" hidden="false" customHeight="true" outlineLevel="0" collapsed="false">
      <c r="A43" s="7" t="s">
        <v>165</v>
      </c>
      <c r="B43" s="8" t="s">
        <v>166</v>
      </c>
      <c r="C43" s="8" t="s">
        <v>16</v>
      </c>
      <c r="D43" s="8" t="s">
        <v>167</v>
      </c>
      <c r="E43" s="8" t="n">
        <v>150</v>
      </c>
      <c r="F43" s="8" t="s">
        <v>40</v>
      </c>
      <c r="G43" s="8" t="s">
        <v>168</v>
      </c>
      <c r="H43" s="7" t="s">
        <v>20</v>
      </c>
      <c r="I43" s="8" t="s">
        <v>21</v>
      </c>
      <c r="J43" s="9" t="s">
        <v>169</v>
      </c>
    </row>
    <row r="44" customFormat="false" ht="49.5" hidden="false" customHeight="true" outlineLevel="0" collapsed="false">
      <c r="A44" s="10" t="s">
        <v>170</v>
      </c>
      <c r="B44" s="11" t="s">
        <v>171</v>
      </c>
      <c r="C44" s="11" t="s">
        <v>16</v>
      </c>
      <c r="D44" s="11" t="s">
        <v>172</v>
      </c>
      <c r="E44" s="11" t="n">
        <v>150</v>
      </c>
      <c r="F44" s="11" t="s">
        <v>40</v>
      </c>
      <c r="G44" s="11" t="s">
        <v>173</v>
      </c>
      <c r="H44" s="10" t="s">
        <v>20</v>
      </c>
      <c r="I44" s="11" t="s">
        <v>21</v>
      </c>
      <c r="J44" s="12" t="s">
        <v>174</v>
      </c>
    </row>
    <row r="45" customFormat="false" ht="27.75" hidden="false" customHeight="true" outlineLevel="0" collapsed="false">
      <c r="A45" s="23" t="s">
        <v>175</v>
      </c>
      <c r="B45" s="23"/>
      <c r="C45" s="23"/>
      <c r="D45" s="23"/>
      <c r="E45" s="23"/>
      <c r="F45" s="23"/>
      <c r="G45" s="23"/>
      <c r="H45" s="23"/>
      <c r="I45" s="23"/>
      <c r="J45" s="23"/>
    </row>
    <row r="46" customFormat="false" ht="49.5" hidden="false" customHeight="true" outlineLevel="0" collapsed="false">
      <c r="A46" s="7" t="s">
        <v>176</v>
      </c>
      <c r="B46" s="8" t="s">
        <v>177</v>
      </c>
      <c r="C46" s="8" t="s">
        <v>16</v>
      </c>
      <c r="D46" s="8" t="s">
        <v>178</v>
      </c>
      <c r="E46" s="8" t="n">
        <v>150</v>
      </c>
      <c r="F46" s="8" t="s">
        <v>70</v>
      </c>
      <c r="G46" s="8" t="s">
        <v>179</v>
      </c>
      <c r="H46" s="7" t="s">
        <v>28</v>
      </c>
      <c r="I46" s="8" t="s">
        <v>21</v>
      </c>
      <c r="J46" s="9" t="s">
        <v>180</v>
      </c>
    </row>
    <row r="47" customFormat="false" ht="27.75" hidden="false" customHeight="true" outlineLevel="0" collapsed="false">
      <c r="A47" s="24" t="s">
        <v>181</v>
      </c>
      <c r="B47" s="24"/>
      <c r="C47" s="24"/>
      <c r="D47" s="24"/>
      <c r="E47" s="24"/>
      <c r="F47" s="24"/>
      <c r="G47" s="24"/>
      <c r="H47" s="24"/>
      <c r="I47" s="24"/>
      <c r="J47" s="24"/>
    </row>
    <row r="48" customFormat="false" ht="24.75" hidden="false" customHeight="true" outlineLevel="0" collapsed="false">
      <c r="A48" s="25" t="s">
        <v>170</v>
      </c>
      <c r="B48" s="25" t="s">
        <v>182</v>
      </c>
      <c r="C48" s="25"/>
      <c r="D48" s="25"/>
      <c r="E48" s="25"/>
      <c r="F48" s="25"/>
      <c r="G48" s="25"/>
      <c r="H48" s="25"/>
      <c r="I48" s="25"/>
      <c r="J48" s="25" t="s">
        <v>183</v>
      </c>
    </row>
    <row r="49" customFormat="false" ht="27.75" hidden="false" customHeight="true" outlineLevel="0" collapsed="false">
      <c r="A49" s="26" t="s">
        <v>184</v>
      </c>
      <c r="B49" s="26"/>
      <c r="C49" s="26"/>
      <c r="D49" s="26"/>
      <c r="E49" s="26"/>
      <c r="F49" s="26"/>
      <c r="G49" s="26"/>
      <c r="H49" s="26"/>
      <c r="I49" s="26"/>
      <c r="J49" s="26"/>
    </row>
    <row r="50" customFormat="false" ht="49.5" hidden="false" customHeight="true" outlineLevel="0" collapsed="false">
      <c r="A50" s="7" t="s">
        <v>185</v>
      </c>
      <c r="B50" s="8" t="s">
        <v>186</v>
      </c>
      <c r="C50" s="8" t="s">
        <v>16</v>
      </c>
      <c r="D50" s="8" t="s">
        <v>187</v>
      </c>
      <c r="E50" s="8" t="n">
        <v>100</v>
      </c>
      <c r="F50" s="8" t="s">
        <v>116</v>
      </c>
      <c r="G50" s="8" t="s">
        <v>188</v>
      </c>
      <c r="H50" s="7" t="s">
        <v>20</v>
      </c>
      <c r="I50" s="8" t="s">
        <v>21</v>
      </c>
      <c r="J50" s="9" t="s">
        <v>189</v>
      </c>
    </row>
    <row r="51" customFormat="false" ht="24.75" hidden="false" customHeight="true" outlineLevel="0" collapsed="false">
      <c r="A51" s="27" t="s">
        <v>190</v>
      </c>
      <c r="B51" s="28" t="s">
        <v>191</v>
      </c>
      <c r="C51" s="28" t="s">
        <v>192</v>
      </c>
      <c r="D51" s="29"/>
      <c r="E51" s="30" t="n">
        <f aca="false">E7+E8+E9+E10+E12+E13+E14+E16+E17+E18+E20+E21+E22+E24+E25+E27+E28+E29+E31+E32+E34+E36+E37+E39+E41+E43+E44+E46+E50</f>
        <v>5700</v>
      </c>
      <c r="F51" s="29"/>
      <c r="G51" s="28" t="s">
        <v>193</v>
      </c>
      <c r="H51" s="28" t="s">
        <v>194</v>
      </c>
      <c r="I51" s="29"/>
      <c r="J51" s="29"/>
    </row>
    <row r="53" customFormat="false" ht="15" hidden="false" customHeight="true" outlineLevel="0" collapsed="false">
      <c r="A53" s="31" t="s">
        <v>195</v>
      </c>
      <c r="B53" s="31"/>
      <c r="C53" s="31"/>
      <c r="D53" s="31"/>
      <c r="E53" s="31"/>
      <c r="F53" s="31"/>
      <c r="G53" s="31"/>
      <c r="H53" s="31"/>
      <c r="I53" s="31"/>
      <c r="J53" s="31"/>
    </row>
    <row r="54" customFormat="false" ht="30" hidden="false" customHeight="true" outlineLevel="0" collapsed="false">
      <c r="A54" s="32" t="s">
        <v>196</v>
      </c>
      <c r="B54" s="32"/>
      <c r="C54" s="33" t="s">
        <v>197</v>
      </c>
      <c r="D54" s="33"/>
      <c r="E54" s="33"/>
      <c r="F54" s="33"/>
      <c r="G54" s="33"/>
      <c r="H54" s="33"/>
      <c r="I54" s="33"/>
      <c r="J54" s="33"/>
    </row>
    <row r="55" customFormat="false" ht="30" hidden="false" customHeight="true" outlineLevel="0" collapsed="false">
      <c r="A55" s="32" t="s">
        <v>198</v>
      </c>
      <c r="B55" s="32"/>
      <c r="C55" s="33" t="s">
        <v>199</v>
      </c>
      <c r="D55" s="33"/>
      <c r="E55" s="33"/>
      <c r="F55" s="33"/>
      <c r="G55" s="33"/>
      <c r="H55" s="33"/>
      <c r="I55" s="33"/>
      <c r="J55" s="33"/>
    </row>
    <row r="56" customFormat="false" ht="30" hidden="false" customHeight="true" outlineLevel="0" collapsed="false">
      <c r="A56" s="32" t="s">
        <v>200</v>
      </c>
      <c r="B56" s="32"/>
      <c r="C56" s="33" t="s">
        <v>201</v>
      </c>
      <c r="D56" s="33"/>
      <c r="E56" s="33"/>
      <c r="F56" s="33"/>
      <c r="G56" s="33"/>
      <c r="H56" s="33"/>
      <c r="I56" s="33"/>
      <c r="J56" s="33"/>
    </row>
    <row r="57" customFormat="false" ht="30" hidden="false" customHeight="true" outlineLevel="0" collapsed="false">
      <c r="A57" s="32" t="s">
        <v>202</v>
      </c>
      <c r="B57" s="32"/>
      <c r="C57" s="33" t="s">
        <v>203</v>
      </c>
      <c r="D57" s="33"/>
      <c r="E57" s="33"/>
      <c r="F57" s="33"/>
      <c r="G57" s="33"/>
      <c r="H57" s="33"/>
      <c r="I57" s="33"/>
      <c r="J57" s="33"/>
    </row>
  </sheetData>
  <mergeCells count="27">
    <mergeCell ref="A1:J1"/>
    <mergeCell ref="A2:J2"/>
    <mergeCell ref="A3:J3"/>
    <mergeCell ref="A6:J6"/>
    <mergeCell ref="A11:J11"/>
    <mergeCell ref="A15:J15"/>
    <mergeCell ref="A19:J19"/>
    <mergeCell ref="A23:J23"/>
    <mergeCell ref="A26:J26"/>
    <mergeCell ref="A30:J30"/>
    <mergeCell ref="A33:J33"/>
    <mergeCell ref="A35:J35"/>
    <mergeCell ref="A38:J38"/>
    <mergeCell ref="A40:J40"/>
    <mergeCell ref="A42:J42"/>
    <mergeCell ref="A45:J45"/>
    <mergeCell ref="A47:J47"/>
    <mergeCell ref="A49:J49"/>
    <mergeCell ref="A53:J53"/>
    <mergeCell ref="A54:B54"/>
    <mergeCell ref="C54:J54"/>
    <mergeCell ref="A55:B55"/>
    <mergeCell ref="C55:J55"/>
    <mergeCell ref="A56:B56"/>
    <mergeCell ref="C56:J56"/>
    <mergeCell ref="A57:B57"/>
    <mergeCell ref="C57:J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2026-02-24T11:00:25Z</dcterms:created>
  <dc:creator>openpyxl</dc:creator>
  <dc:description/>
  <dc:language>en-US</dc:language>
  <cp:lastModifiedBy/>
  <dcterms:modified xsi:type="dcterms:W3CDTF">2026-02-24T11:02:22Z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