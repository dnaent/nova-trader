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SA Portfoli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£#,##0"/>
    <numFmt numFmtId="165" formatCode="£#,##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B0C4DE"/>
      <sz val="10"/>
    </font>
    <font>
      <name val="Arial"/>
      <charset val="1"/>
      <family val="0"/>
      <color rgb="FFC0D0E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D47A1"/>
      <sz val="10"/>
    </font>
    <font>
      <name val="Arial"/>
      <charset val="1"/>
      <family val="0"/>
      <b val="1"/>
      <color rgb="FF1B2A4A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color rgb="FF1B2A4A"/>
      <sz val="10"/>
    </font>
    <font>
      <name val="Arial"/>
      <charset val="1"/>
      <family val="0"/>
      <b val="1"/>
      <color rgb="FF1565C0"/>
      <sz val="10"/>
    </font>
    <font>
      <name val="Arial"/>
      <charset val="1"/>
      <family val="0"/>
      <b val="1"/>
      <color rgb="FF5C6BC0"/>
      <sz val="9"/>
    </font>
    <font>
      <name val="Arial"/>
      <charset val="1"/>
      <family val="0"/>
      <color rgb="FF37474F"/>
      <sz val="9"/>
    </font>
    <font>
      <name val="Arial"/>
      <charset val="1"/>
      <family val="0"/>
      <b val="1"/>
      <color rgb="FF1B2A4A"/>
      <sz val="12"/>
    </font>
    <font>
      <name val="Arial"/>
      <charset val="1"/>
      <family val="0"/>
      <b val="1"/>
      <color rgb="FF546E7A"/>
      <sz val="10"/>
    </font>
    <font>
      <name val="Arial"/>
      <charset val="1"/>
      <family val="0"/>
      <b val="1"/>
      <color rgb="FF2E7D32"/>
      <sz val="12"/>
    </font>
    <font>
      <name val="Arial"/>
      <charset val="1"/>
      <family val="0"/>
      <b val="1"/>
      <color rgb="FF1B2A4A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1B3A5C"/>
        <bgColor rgb="FF1B2A4A"/>
      </patternFill>
    </fill>
    <fill>
      <patternFill patternType="solid">
        <fgColor rgb="FF1B2A4A"/>
        <bgColor rgb="FF1B3A5C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F7F9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8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general" vertical="center" wrapText="1"/>
    </xf>
    <xf numFmtId="164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general" vertical="center" wrapText="1"/>
    </xf>
    <xf numFmtId="164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164" fontId="17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general" vertical="center" wrapText="1"/>
    </xf>
    <xf numFmtId="164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general" vertical="center" wrapText="1"/>
    </xf>
    <xf numFmtId="164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164" fontId="17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general" vertical="bottom"/>
    </xf>
    <xf numFmtId="165" fontId="17" fillId="7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546E7A"/>
      <rgbColor rgb="FF9999FF"/>
      <rgbColor rgb="FF993366"/>
      <rgbColor rgb="FFF7F9FC"/>
      <rgbColor rgb="FFE8EDF5"/>
      <rgbColor rgb="FF660066"/>
      <rgbColor rgb="FFFF8080"/>
      <rgbColor rgb="FF1565C0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C0D0E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C0"/>
      <rgbColor rgb="FF969696"/>
      <rgbColor rgb="FF1B3A5C"/>
      <rgbColor rgb="FF2E7D32"/>
      <rgbColor rgb="FF0D1B2A"/>
      <rgbColor rgb="FF37474F"/>
      <rgbColor rgb="FF993300"/>
      <rgbColor rgb="FF993366"/>
      <rgbColor rgb="FF0D47A1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28" customWidth="1" style="23" min="2" max="2"/>
    <col width="18" customWidth="1" style="23" min="3" max="3"/>
    <col width="22" customWidth="1" style="23" min="4" max="5"/>
    <col width="16" customWidth="1" style="23" min="6" max="7"/>
    <col width="60" customWidth="1" style="23" min="8" max="8"/>
  </cols>
  <sheetData>
    <row r="1" ht="39.75" customHeight="1" s="24">
      <c r="A1" s="25" t="inlineStr">
        <is>
          <t>✈️ THE ISA MATRIX: "The Aeroplane" — Growth Engine</t>
        </is>
      </c>
    </row>
    <row r="2" ht="24.75" customHeight="1" s="24">
      <c r="A2" s="26" t="inlineStr">
        <is>
          <t>Budget: £11,500  |  Account: Stocks &amp; Shares ISA  |  Platform: Freetrade</t>
        </is>
      </c>
    </row>
    <row r="3" ht="34.5" customHeight="1" s="24">
      <c r="A3" s="27" t="inlineStr">
        <is>
          <t>Strategy: Tax-free growth via FTSE-listed miners, ETFs &amp; infrastructure plays. Dividend reinvestment within ISA wrapper for compound growth.</t>
        </is>
      </c>
    </row>
    <row r="4" ht="7.5" customHeight="1" s="24"/>
    <row r="5" ht="36" customHeight="1" s="24">
      <c r="A5" s="28" t="inlineStr">
        <is>
          <t>Ticker</t>
        </is>
      </c>
      <c r="B5" s="28" t="inlineStr">
        <is>
          <t>Holding Name</t>
        </is>
      </c>
      <c r="C5" s="28" t="inlineStr">
        <is>
          <t>Initial Investment (£)</t>
        </is>
      </c>
      <c r="D5" s="28" t="inlineStr">
        <is>
          <t>Historical Return
(Annualized)</t>
        </is>
      </c>
      <c r="E5" s="28" t="inlineStr">
        <is>
          <t>Hypothetical 25-Yr
Projection (£)</t>
        </is>
      </c>
      <c r="F5" s="28" t="inlineStr">
        <is>
          <t>Est. Yield / Return</t>
        </is>
      </c>
      <c r="G5" s="28" t="inlineStr">
        <is>
          <t>Role</t>
        </is>
      </c>
      <c r="H5" s="28" t="inlineStr">
        <is>
          <t>Primary Driver (The "Why")</t>
        </is>
      </c>
    </row>
    <row r="6" ht="51.75" customHeight="1" s="24">
      <c r="A6" s="29" t="inlineStr">
        <is>
          <t>RIO.L</t>
        </is>
      </c>
      <c r="B6" s="30" t="inlineStr">
        <is>
          <t>Rio Tinto</t>
        </is>
      </c>
      <c r="C6" s="31" t="n">
        <v>1500</v>
      </c>
      <c r="D6" s="32" t="inlineStr">
        <is>
          <t>8.5% (5-Yr)</t>
        </is>
      </c>
      <c r="E6" s="33" t="n">
        <v>11530</v>
      </c>
      <c r="F6" s="32" t="inlineStr">
        <is>
          <t>~5.5%</t>
        </is>
      </c>
      <c r="G6" s="34" t="inlineStr">
        <is>
          <t>Base Builder</t>
        </is>
      </c>
      <c r="H6" s="35" t="inlineStr">
        <is>
          <t>Copper/Iron. FTSE 100 foundation of every Smart City. Pays semi-annually Apr &amp; Sep. Global diversified miner.</t>
        </is>
      </c>
    </row>
    <row r="7" ht="51.75" customHeight="1" s="24">
      <c r="A7" s="36" t="inlineStr">
        <is>
          <t>GLEN.L</t>
        </is>
      </c>
      <c r="B7" s="37" t="inlineStr">
        <is>
          <t>Glencore</t>
        </is>
      </c>
      <c r="C7" s="38" t="n">
        <v>1500</v>
      </c>
      <c r="D7" s="39" t="inlineStr">
        <is>
          <t>10.2% (5-Yr)</t>
        </is>
      </c>
      <c r="E7" s="40" t="n">
        <v>17007</v>
      </c>
      <c r="F7" s="39" t="inlineStr">
        <is>
          <t>~4.8% (Variable)</t>
        </is>
      </c>
      <c r="G7" s="41" t="inlineStr">
        <is>
          <t>The Trader</t>
        </is>
      </c>
      <c r="H7" s="42" t="inlineStr">
        <is>
          <t>Chaos Hedge. Profits from geopolitical friction via commodity trading. Pivoting to battery recycling. Pays May &amp; Sep.</t>
        </is>
      </c>
    </row>
    <row r="8" ht="51.75" customHeight="1" s="24">
      <c r="A8" s="29" t="inlineStr">
        <is>
          <t>AIAG.L</t>
        </is>
      </c>
      <c r="B8" s="30" t="inlineStr">
        <is>
          <t>L&amp;G AI ETF (Acc)</t>
        </is>
      </c>
      <c r="C8" s="31" t="n">
        <v>2000</v>
      </c>
      <c r="D8" s="32" t="inlineStr">
        <is>
          <t>18.5% (3-Yr)</t>
        </is>
      </c>
      <c r="E8" s="33" t="n">
        <v>139312</v>
      </c>
      <c r="F8" s="32" t="inlineStr">
        <is>
          <t>Accumulating</t>
        </is>
      </c>
      <c r="G8" s="34" t="inlineStr">
        <is>
          <t>The Brain</t>
        </is>
      </c>
      <c r="H8" s="35" t="inlineStr">
        <is>
          <t>Pure AI. Core Freetrade ETF. Reinvests dividends into the full AI stack (Chips, Cloud, Data). Passive AI exposure.</t>
        </is>
      </c>
    </row>
    <row r="9" ht="51.75" customHeight="1" s="24">
      <c r="A9" s="36" t="inlineStr">
        <is>
          <t>FRES.L</t>
        </is>
      </c>
      <c r="B9" s="37" t="inlineStr">
        <is>
          <t>Fresnillo</t>
        </is>
      </c>
      <c r="C9" s="38" t="n">
        <v>1000</v>
      </c>
      <c r="D9" s="39" t="inlineStr">
        <is>
          <t>12.8% (5-Yr)</t>
        </is>
      </c>
      <c r="E9" s="40" t="n">
        <v>20311</v>
      </c>
      <c r="F9" s="39" t="inlineStr">
        <is>
          <t>~2.5%</t>
        </is>
      </c>
      <c r="G9" s="41" t="inlineStr">
        <is>
          <t>Silver Squeeze</t>
        </is>
      </c>
      <c r="H9" s="42" t="inlineStr">
        <is>
          <t>World's top silver miner. Critical for 5G, solar &amp; cashless circuits. Pays May &amp; Sep. Precious metals hedge.</t>
        </is>
      </c>
    </row>
    <row r="10" ht="51.75" customHeight="1" s="24">
      <c r="A10" s="29" t="inlineStr">
        <is>
          <t>ISPY.L</t>
        </is>
      </c>
      <c r="B10" s="30" t="inlineStr">
        <is>
          <t>L&amp;G Cyber Security ETF</t>
        </is>
      </c>
      <c r="C10" s="31" t="n">
        <v>1000</v>
      </c>
      <c r="D10" s="32" t="inlineStr">
        <is>
          <t>13.9% (5-Yr)</t>
        </is>
      </c>
      <c r="E10" s="33" t="n">
        <v>25888</v>
      </c>
      <c r="F10" s="32" t="inlineStr">
        <is>
          <t>Accumulating</t>
        </is>
      </c>
      <c r="G10" s="34" t="inlineStr">
        <is>
          <t>Digital Shield</t>
        </is>
      </c>
      <c r="H10" s="35" t="inlineStr">
        <is>
          <t>Cashless Defense. Protecting blockchain rails &amp; data centers from cyber warfare. Growing threat landscape.</t>
        </is>
      </c>
    </row>
    <row r="11" ht="51.75" customHeight="1" s="24">
      <c r="A11" s="36" t="inlineStr">
        <is>
          <t>SVT.L</t>
        </is>
      </c>
      <c r="B11" s="37" t="inlineStr">
        <is>
          <t>Severn Trent</t>
        </is>
      </c>
      <c r="C11" s="38" t="n">
        <v>1000</v>
      </c>
      <c r="D11" s="39" t="inlineStr">
        <is>
          <t>7.8% (5-Yr)</t>
        </is>
      </c>
      <c r="E11" s="40" t="n">
        <v>6538</v>
      </c>
      <c r="F11" s="39" t="inlineStr">
        <is>
          <t>~4.2%</t>
        </is>
      </c>
      <c r="G11" s="41" t="inlineStr">
        <is>
          <t>AI Cooling</t>
        </is>
      </c>
      <c r="H11" s="42" t="inlineStr">
        <is>
          <t>Blue Gold. Strategic water supply for cooling data center clusters in the UK. Regulated utility stability. Pays Jan &amp; Jul.</t>
        </is>
      </c>
    </row>
    <row r="12" ht="51.75" customHeight="1" s="24">
      <c r="A12" s="29" t="inlineStr">
        <is>
          <t>YCA.L</t>
        </is>
      </c>
      <c r="B12" s="30" t="inlineStr">
        <is>
          <t>Yellow Cake plc</t>
        </is>
      </c>
      <c r="C12" s="31" t="n">
        <v>1000</v>
      </c>
      <c r="D12" s="32" t="inlineStr">
        <is>
          <t>22.5% (5-Yr)</t>
        </is>
      </c>
      <c r="E12" s="33" t="n">
        <v>159736</v>
      </c>
      <c r="F12" s="32" t="inlineStr">
        <is>
          <t>Spot (No Dividend)</t>
        </is>
      </c>
      <c r="G12" s="34" t="inlineStr">
        <is>
          <t>Nuclear Fuel</t>
        </is>
      </c>
      <c r="H12" s="35" t="inlineStr">
        <is>
          <t>Physical Uranium holding. Zero mining risk. Pure bet on nuclear powering AI. Tracks uranium spot price.</t>
        </is>
      </c>
    </row>
    <row r="13" ht="51.75" customHeight="1" s="24">
      <c r="A13" s="36" t="inlineStr">
        <is>
          <t>THS.L</t>
        </is>
      </c>
      <c r="B13" s="37" t="inlineStr">
        <is>
          <t>Tharisa plc</t>
        </is>
      </c>
      <c r="C13" s="38" t="n">
        <v>1000</v>
      </c>
      <c r="D13" s="39" t="inlineStr">
        <is>
          <t>9.5% (5-Yr)</t>
        </is>
      </c>
      <c r="E13" s="40" t="n">
        <v>9668</v>
      </c>
      <c r="F13" s="39" t="inlineStr">
        <is>
          <t>~6.5%</t>
        </is>
      </c>
      <c r="G13" s="41" t="inlineStr">
        <is>
          <t>PGM Bridge</t>
        </is>
      </c>
      <c r="H13" s="42" t="inlineStr">
        <is>
          <t>Hybrid Power. Platinum for hybrids &amp; Chrome for solar. Deep value African play. Pays Jan &amp; Jun.</t>
        </is>
      </c>
    </row>
    <row r="14" ht="51.75" customHeight="1" s="24">
      <c r="A14" s="29" t="inlineStr">
        <is>
          <t>BCHN.L</t>
        </is>
      </c>
      <c r="B14" s="30" t="inlineStr">
        <is>
          <t>Invesco Blockchain ETF</t>
        </is>
      </c>
      <c r="C14" s="31" t="n">
        <v>1000</v>
      </c>
      <c r="D14" s="32" t="inlineStr">
        <is>
          <t>35.0% (3-Yr)</t>
        </is>
      </c>
      <c r="E14" s="33" t="n">
        <v>1812776</v>
      </c>
      <c r="F14" s="32" t="inlineStr">
        <is>
          <t>Accumulating</t>
        </is>
      </c>
      <c r="G14" s="34" t="inlineStr">
        <is>
          <t>Crypto Rails</t>
        </is>
      </c>
      <c r="H14" s="35" t="inlineStr">
        <is>
          <t>Ledger Tech. Infrastructure of the cashless society (miners/exchanges). High volatility, high upside.</t>
        </is>
      </c>
    </row>
    <row r="15" ht="51.75" customHeight="1" s="24">
      <c r="A15" s="36" t="inlineStr">
        <is>
          <t>ALL.L</t>
        </is>
      </c>
      <c r="B15" s="37" t="inlineStr">
        <is>
          <t>Atlantic Lithium</t>
        </is>
      </c>
      <c r="C15" s="38" t="n">
        <v>500</v>
      </c>
      <c r="D15" s="39" t="inlineStr">
        <is>
          <t>Speculative (Pre-Production)</t>
        </is>
      </c>
      <c r="E15" s="40" t="n">
        <v>16459</v>
      </c>
      <c r="F15" s="39" t="inlineStr">
        <is>
          <t>N/A (Explorer)</t>
        </is>
      </c>
      <c r="G15" s="41" t="inlineStr">
        <is>
          <t>Lithium Scout</t>
        </is>
      </c>
      <c r="H15" s="42" t="inlineStr">
        <is>
          <t>Developing Ghana lithium to bypass Chinese export controls. Ewoyaa project. High-risk explorer.</t>
        </is>
      </c>
    </row>
    <row r="16" ht="30" customHeight="1" s="24">
      <c r="A16" s="43" t="inlineStr">
        <is>
          <t>TOTAL</t>
        </is>
      </c>
      <c r="B16" s="44" t="inlineStr">
        <is>
          <t>Budget: £11,500</t>
        </is>
      </c>
      <c r="C16" s="45">
        <f>SUM(C6:C15)</f>
        <v/>
      </c>
      <c r="D16" s="46" t="n"/>
      <c r="E16" s="47">
        <f>SUM(E6:E15)</f>
        <v/>
      </c>
      <c r="F16" s="46" t="n"/>
      <c r="G16" s="46" t="n"/>
      <c r="H16" s="46" t="n"/>
    </row>
  </sheetData>
  <mergeCells count="3">
    <mergeCell ref="A3:H3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2026-02-23T22:46:04Z</dcterms:created>
  <dcterms:modified xmlns:dcterms="http://purl.org/dc/terms/" xmlns:xsi="http://www.w3.org/2001/XMLSchema-instance" xsi:type="dcterms:W3CDTF">2026-02-23T23:03:33Z</dcterms:modified>
  <cp:revision>0</cp:revision>
</cp:coreProperties>
</file>