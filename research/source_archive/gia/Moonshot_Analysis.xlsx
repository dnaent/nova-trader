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onshot Analysi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<sst xmlns="http://schemas.openxmlformats.org/spreadsheetml/2006/main" count="169" uniqueCount="123">
  <si>
    <t xml:space="preserve">🚀 MOONSHOT ANALYSIS: "What If Every Catalyst Fully Materialises?" — EXPANDED 30 BETS</t>
  </si>
  <si>
    <t xml:space="preserve">Total Deployed: £5,700  |  Conservative All-Hit: £25,000 (4.4x)  |  FULL MOONSHOT: £119,850 (21.0x)</t>
  </si>
  <si>
    <t xml:space="preserve">Ticker</t>
  </si>
  <si>
    <t xml:space="preserve">Holding Name</t>
  </si>
  <si>
    <t xml:space="preserve">Investment (£)</t>
  </si>
  <si>
    <t xml:space="preserve">Conservative
Multiple</t>
  </si>
  <si>
    <t xml:space="preserve">Conservative
Value (£)</t>
  </si>
  <si>
    <t xml:space="preserve">MOONSHOT
Multiple</t>
  </si>
  <si>
    <t xml:space="preserve">MOONSHOT
Value (£)</t>
  </si>
  <si>
    <t xml:space="preserve">Full Catalyst Materialisation Rationale</t>
  </si>
  <si>
    <t xml:space="preserve">CHRT.L</t>
  </si>
  <si>
    <t xml:space="preserve">Cohort plc</t>
  </si>
  <si>
    <t xml:space="preserve">5x</t>
  </si>
  <si>
    <t xml:space="preserve">15x</t>
  </si>
  <si>
    <t xml:space="preserve">Currently ~1400p. Analyst high target 1930p. If NATO decade-long rearmament comparable to Rheinmetall 12x in 3 years. £650m order book + record European defence spending = 15x.</t>
  </si>
  <si>
    <t xml:space="preserve">CHG.L</t>
  </si>
  <si>
    <t xml:space="preserve">Chemring Group</t>
  </si>
  <si>
    <t xml:space="preserve">4x</t>
  </si>
  <si>
    <t xml:space="preserve">10x</t>
  </si>
  <si>
    <t xml:space="preserve">Currently ~420p. RBC target 500p. Expanding explosives capacity 275% by 2028. Record £1.34bn orders. If prolonged conflict + ammo restocking cycle = 10x.</t>
  </si>
  <si>
    <t xml:space="preserve">CNC.L</t>
  </si>
  <si>
    <t xml:space="preserve">Concurrent Technologies</t>
  </si>
  <si>
    <t xml:space="preserve">20x</t>
  </si>
  <si>
    <t xml:space="preserve">Tiny AIM stock. Already surged from penny stock territory. Micro-cap defence plays historically deliver 20-50x in wartime spending cycles.</t>
  </si>
  <si>
    <t xml:space="preserve">AVON.L</t>
  </si>
  <si>
    <t xml:space="preserve">Avon Technologies</t>
  </si>
  <si>
    <t xml:space="preserve">3x</t>
  </si>
  <si>
    <t xml:space="preserve">8x</t>
  </si>
  <si>
    <t xml:space="preserve">Currently ~1200p. Was 4000p+ in 2020 during COVID PPE demand. If CBRN threat materialises = return to ATH+ territory.</t>
  </si>
  <si>
    <t xml:space="preserve">$SMR</t>
  </si>
  <si>
    <t xml:space="preserve">NuScale Power</t>
  </si>
  <si>
    <t xml:space="preserve">30x</t>
  </si>
  <si>
    <t xml:space="preserve">Currently ~$13.50. ATH $57.42. Analyst high target $60. If 6GW TVA converts to binding + more utilities sign = GE Vernova valuation ($350+) = 30x.</t>
  </si>
  <si>
    <t xml:space="preserve">$NNE</t>
  </si>
  <si>
    <t xml:space="preserve">Nano Nuclear Energy</t>
  </si>
  <si>
    <t xml:space="preserve">25x</t>
  </si>
  <si>
    <t xml:space="preserve">Micro-reactor startup. If US Army Janus Program deploys + data centers go off-grid nuclear. Purest micro-reactor play = QuantumScape-level frenzy.</t>
  </si>
  <si>
    <t xml:space="preserve">$OKLO</t>
  </si>
  <si>
    <t xml:space="preserve">Oklo Inc</t>
  </si>
  <si>
    <t xml:space="preserve">Sam Altman-backed. Currently ~$25. If OpenAI/Microsoft sign nuclear PPAs, the man building AI + the company powering AI = irresistible narrative.</t>
  </si>
  <si>
    <t xml:space="preserve">$MP</t>
  </si>
  <si>
    <t xml:space="preserve">MP Materials</t>
  </si>
  <si>
    <t xml:space="preserve">Currently ~$25. ATH ~$60. If China fully bans REE exports to US during Taiwan crisis, only Western source reprices = 15x minimum.</t>
  </si>
  <si>
    <t xml:space="preserve">$IREN</t>
  </si>
  <si>
    <t xml:space="preserve">IREN Ltd</t>
  </si>
  <si>
    <t xml:space="preserve">Was $76 at peak. Currently ~$10. If Bitcoin-to-AI infrastructure pivot succeeds + next crypto cycle = back to ATH territory.</t>
  </si>
  <si>
    <t xml:space="preserve">IKA.L</t>
  </si>
  <si>
    <t xml:space="preserve">Ilika plc</t>
  </si>
  <si>
    <t xml:space="preserve">Currently ~47p. Solid-state battery IP. If solid-state replaces Li-ion, IP holders get licensing royalties. QuantumScape hit $50bn on hype.</t>
  </si>
  <si>
    <t xml:space="preserve">$IONQ</t>
  </si>
  <si>
    <t xml:space="preserve">IonQ Inc</t>
  </si>
  <si>
    <t xml:space="preserve">Currently ~$30. ATH ~$54. If quantum computing achieves practical advantage and "ChatGPT moment" for quantum by 2028-2030.</t>
  </si>
  <si>
    <t xml:space="preserve">$RGTI</t>
  </si>
  <si>
    <t xml:space="preserve">Rigetti Computing</t>
  </si>
  <si>
    <t xml:space="preserve">Currently ~$12. ATH ~$53 in 2025 quantum bubble. If quantum achieves commercial utility = back to ATH and beyond.</t>
  </si>
  <si>
    <t xml:space="preserve">MTEC.L</t>
  </si>
  <si>
    <t xml:space="preserve">Made Tech</t>
  </si>
  <si>
    <t xml:space="preserve">Tiny AIM stock. 85% profit growth. If UK gov digital transformation accelerates + MOD cybersecurity contracts.</t>
  </si>
  <si>
    <t xml:space="preserve">SFR.L</t>
  </si>
  <si>
    <t xml:space="preserve">Severfield plc</t>
  </si>
  <si>
    <t xml:space="preserve">Crashed 50%+ from highs. Structural steel. If tariff protection + Ukraine reconstruction begins = 8x recovery.</t>
  </si>
  <si>
    <t xml:space="preserve">SKL.L</t>
  </si>
  <si>
    <t xml:space="preserve">Skillcast</t>
  </si>
  <si>
    <t xml:space="preserve">12x</t>
  </si>
  <si>
    <t xml:space="preserve">Near ATH. 40% profit growth. If post-war sanctions/compliance regime grows exponentially.</t>
  </si>
  <si>
    <t xml:space="preserve">$TMC</t>
  </si>
  <si>
    <t xml:space="preserve">TMC the Metals Company</t>
  </si>
  <si>
    <t xml:space="preserve">50x</t>
  </si>
  <si>
    <t xml:space="preserve">Currently ~$3. If ISA grants deep-sea mining license AND land supply chains collapse. Exclusive access to $30bn+ ocean floor. Even 10% resource value = 50x.</t>
  </si>
  <si>
    <t xml:space="preserve">KOD.L</t>
  </si>
  <si>
    <t xml:space="preserve">Kodal Minerals</t>
  </si>
  <si>
    <t xml:space="preserve">100x</t>
  </si>
  <si>
    <t xml:space="preserve">Currently ~0.5p. Sub-penny stock. If lithium returns to $80k/tonne AND Bougouni reaches production. Explorer-to-producer = 50-100x. Move to 50p = 100x.</t>
  </si>
  <si>
    <t xml:space="preserve">ALL.L</t>
  </si>
  <si>
    <t xml:space="preserve">Atlantic Lithium</t>
  </si>
  <si>
    <t xml:space="preserve">Currently ~20p. Was 55p+ in 2022 lithium boom. Most advanced lithium project in West Africa. If lithium cycle returns = 20x.</t>
  </si>
  <si>
    <t xml:space="preserve">$RKLB</t>
  </si>
  <si>
    <t xml:space="preserve">Rocket Lab USA</t>
  </si>
  <si>
    <t xml:space="preserve">Currently ~$24. ATH ~$27. If space militarisation accelerates + Neutron rocket succeeds = SpaceX mini-me valuation.</t>
  </si>
  <si>
    <t xml:space="preserve">$LUNR</t>
  </si>
  <si>
    <t xml:space="preserve">Intuitive Machines</t>
  </si>
  <si>
    <t xml:space="preserve">Currently ~$15. First private US Moon landing. If lunar economy + Artemis program expands = dominant lunar services provider.</t>
  </si>
  <si>
    <t xml:space="preserve">$NVAX</t>
  </si>
  <si>
    <t xml:space="preserve">Novavax Inc</t>
  </si>
  <si>
    <t xml:space="preserve">Currently ~$8.76. ATH $331 during COVID. Matrix-M adjuvant platform. Sanofi partnership. If next pandemic hits (H5N1, Disease X) = overnight repricing. Even partial recovery to $50 = 6x. Full pandemic = 30x+.</t>
  </si>
  <si>
    <t xml:space="preserve">ITM.L</t>
  </si>
  <si>
    <t xml:space="preserve">ITM Power plc</t>
  </si>
  <si>
    <t xml:space="preserve">Currently ~62p. ATH was 730p (2021). Record £18M H1 revenue. £152M backlog. £197M cash runway. EU RED III mandates 42% renewable H2 by 2030. If hydrogen economy materialises = back to ATH (12x) or beyond (20x).</t>
  </si>
  <si>
    <t xml:space="preserve">$PLUG</t>
  </si>
  <si>
    <t xml:space="preserve">Plug Power Inc</t>
  </si>
  <si>
    <t xml:space="preserve">Currently ~$1.87. ATH was $75 in 2021 hydrogen mania. Rotterdam pipeline operational. If hydrogen economy scales AND company avoids dilution death = 30x recovery. Class action risk but massive optionality.</t>
  </si>
  <si>
    <t xml:space="preserve">$SERV</t>
  </si>
  <si>
    <t xml:space="preserve">Serve Robotics Inc</t>
  </si>
  <si>
    <t xml:space="preserve">Currently ~$9.18. ATH $23. Uber/DoorDash partnerships. 1,000+ autonomous delivery robots deployed. If last-mile delivery goes fully autonomous ($450bn TAM) = dominant platform. 10x revenue inflection = 15x stock.</t>
  </si>
  <si>
    <t xml:space="preserve">$ASTS</t>
  </si>
  <si>
    <t xml:space="preserve">AST SpaceMobile Inc</t>
  </si>
  <si>
    <t xml:space="preserve">Currently ~$84. ATH $129.89. BlueBird 6 deployed. Saudi $175M deal + $1B commitments. If 45-60 sats launch = global direct-to-device coverage. $25B market cap today → $200B+ if becomes global telco layer = 8x.</t>
  </si>
  <si>
    <t xml:space="preserve">$CMPS</t>
  </si>
  <si>
    <t xml:space="preserve">Compass Pathways plc</t>
  </si>
  <si>
    <t xml:space="preserve">Currently ~$8. ATH was ~$60. BOTH Phase 3 trials hit primary endpoints. NDA submission imminent. If FDA approves COMP360 as first psychedelic medicine = entirely new drug class. $50bn+ mental health TAM. Return to ATH = 7.5x. With approval premium = 20x.</t>
  </si>
  <si>
    <t xml:space="preserve">$ATAI</t>
  </si>
  <si>
    <t xml:space="preserve">AtaiBeckley Inc</t>
  </si>
  <si>
    <t xml:space="preserve">Currently ~$3.88. Analyst target $13.86. Thiel-backed. 10 psychedelic programs. BPL-003 Phase 3 ready. 20.8% stake in Compass. If psychedelic legalisation cascades like cannabis = multi-billion platform. At $20+ = 5x conservative. Full moonshot = 20x.</t>
  </si>
  <si>
    <t xml:space="preserve">$LAES</t>
  </si>
  <si>
    <t xml:space="preserve">SEALSQ Corp</t>
  </si>
  <si>
    <t xml:space="preserve">Currently ~$3.77. QS7001 post-quantum chip in development. "Harvest now, decrypt later" forces $100bn+ encryption upgrade. If quantum threat timeline accelerates = mandatory govt procurement. At even 1% of TAM = 15x.</t>
  </si>
  <si>
    <t xml:space="preserve">ANIC.L</t>
  </si>
  <si>
    <t xml:space="preserve">Agronomics Ltd</t>
  </si>
  <si>
    <t xml:space="preserve">Currently ~8p. AIM-listed investor in lab-grown meat (Mosa Meat, BlueNalu, etc.). If regulatory approval cascades + scaling costs drop = entire protein industry disruption. Portfolio approach de-risks. Full sector boom = 25x.</t>
  </si>
  <si>
    <t xml:space="preserve">TOTAL</t>
  </si>
  <si>
    <t xml:space="preserve">29 Moonshot Bets</t>
  </si>
  <si>
    <t xml:space="preserve">🏆 TOP 10 MOONSHOTS BY ABSOLUTE RETURN POTENTIAL</t>
  </si>
  <si>
    <t xml:space="preserve">1. KOD.L (Kodal Minerals): £100 → £10,000 (100x) — Sub-penny lithium. If lithium returns to 2022 prices + Bougouni production = ultimate lottery ticket.</t>
  </si>
  <si>
    <t xml:space="preserve">2. $TMC (TMC the Metals Company): £200 → £10,000 (50x) — Deep-sea mining monopoly. ISA license + supply chain collapse = exclusive access to $30bn ocean floor metals.</t>
  </si>
  <si>
    <t xml:space="preserve">3. $SMR (NuScale Power): £350 → £10,500 (30x) — Only NRC-certified SMR. If TVA converts + nuclear renaissance = GE Vernova-class valuation.</t>
  </si>
  <si>
    <t xml:space="preserve">4. $NVAX (Novavax): £150 → £4,500 (30x) — NEW: Crashed 97% from $331 ATH. Next pandemic reprices entire biodefence sector overnight. Sanofi partnership intact.</t>
  </si>
  <si>
    <t xml:space="preserve">5. $PLUG (Plug Power): £100 → £3,000 (30x) — NEW: $1.87 vs ATH $75. If hydrogen economy scales = most leveraged recovery play. Rotterdam pipeline live.</t>
  </si>
  <si>
    <t xml:space="preserve">6. IKA.L (Ilika plc): £200 → £6,000 (30x) — Solid-state battery IP. If replaces Li-ion = QuantumScape-level valuation from tiny base.</t>
  </si>
  <si>
    <t xml:space="preserve">7. $NNE (Nano Nuclear Energy): £250 → £6,250 (25x) — Purest micro-reactor play. US Army Janus + off-grid data centers = explosive demand.</t>
  </si>
  <si>
    <t xml:space="preserve">8. ANIC.L (Agronomics): £100 → £2,500 (25x) — NEW: Lab-grown meat portfolio. If regulatory approval cascades = protein industry disruption.</t>
  </si>
  <si>
    <t xml:space="preserve">9. $RGTI (Rigetti Computing): £200 → £5,000 (25x) — ATH $53 vs current $12. If quantum "ChatGPT moment" arrives.</t>
  </si>
  <si>
    <t xml:space="preserve">10. $CMPS (Compass Pathways): £150 → £3,000 (20x) — NEW: BOTH Phase 3 trials succeeded. If FDA approves first psychedelic medicine = new drug class.</t>
  </si>
  <si>
    <t xml:space="preserve">⚡ NEW SECTORS ADDED: Biodefence ($NVAX), Hydrogen (ITM.L, $PLUG), Robotics ($SERV), Satellite ($ASTS), Psychedelics ($CMPS, $ATAI), Post-Quantum ($LAES), AgriTech (ANIC.L)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</si>
</sst>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27AE6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E74C3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2"/>
      <color rgb="FFC0392B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0D2B"/>
        <bgColor rgb="FF1A1A4E"/>
      </patternFill>
    </fill>
    <fill>
      <patternFill patternType="solid">
        <fgColor rgb="FF1A1A4E"/>
        <bgColor rgb="FF0D0D2B"/>
      </patternFill>
    </fill>
    <fill>
      <patternFill patternType="solid">
        <fgColor rgb="FFF8F9FA"/>
        <bgColor rgb="FFFFFFFF"/>
      </patternFill>
    </fill>
    <fill>
      <patternFill patternType="solid">
        <fgColor rgb="FFEEF2F7"/>
        <bgColor rgb="FFF8F9FA"/>
      </patternFill>
    </fill>
    <fill>
      <patternFill patternType="solid">
        <fgColor rgb="FFE8E8E8"/>
        <bgColor rgb="FFEEF2F7"/>
      </patternFill>
    </fill>
    <fill>
      <patternFill patternType="solid">
        <fgColor rgb="FFFFD7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top" textRotation="0" wrapText="true" indent="0" shrinkToFit="false"/>
      <protection locked="true" hidden="false"/>
    </xf>
    <xf numFmtId="165" fontId="13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0D2B"/>
      <rgbColor rgb="FF808000"/>
      <rgbColor rgb="FF800080"/>
      <rgbColor rgb="FF008080"/>
      <rgbColor rgb="FFCCCCCC"/>
      <rgbColor rgb="FF808080"/>
      <rgbColor rgb="FF9999FF"/>
      <rgbColor rgb="FF993366"/>
      <rgbColor rgb="FFF8F9FA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8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E74C3C"/>
      <rgbColor rgb="FF666699"/>
      <rgbColor rgb="FF969696"/>
      <rgbColor rgb="FF1A1A4E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6"/>
    <col collapsed="false" customWidth="true" hidden="false" outlineLevel="0" max="4" min="3" style="1" width="14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65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60" hidden="false" customHeight="true" outlineLevel="0" collapsed="false">
      <c r="A5" s="5" t="s">
        <v>10</v>
      </c>
      <c r="B5" s="6" t="s">
        <v>11</v>
      </c>
      <c r="C5" s="6" t="n">
        <v>300</v>
      </c>
      <c r="D5" s="6" t="s">
        <v>12</v>
      </c>
      <c r="E5" s="7" t="n">
        <f aca="false">C5*5</f>
        <v>1500</v>
      </c>
      <c r="F5" s="8" t="s">
        <v>13</v>
      </c>
      <c r="G5" s="8" t="n">
        <f aca="false">C5*15</f>
        <v>4500</v>
      </c>
      <c r="H5" s="9" t="s">
        <v>14</v>
      </c>
    </row>
    <row r="6" customFormat="false" ht="60" hidden="false" customHeight="true" outlineLevel="0" collapsed="false">
      <c r="A6" s="10" t="s">
        <v>15</v>
      </c>
      <c r="B6" s="11" t="s">
        <v>16</v>
      </c>
      <c r="C6" s="11" t="n">
        <v>300</v>
      </c>
      <c r="D6" s="11" t="s">
        <v>17</v>
      </c>
      <c r="E6" s="12" t="n">
        <f aca="false">C6*4</f>
        <v>1200</v>
      </c>
      <c r="F6" s="13" t="s">
        <v>18</v>
      </c>
      <c r="G6" s="13" t="n">
        <f aca="false">C6*10</f>
        <v>3000</v>
      </c>
      <c r="H6" s="14" t="s">
        <v>19</v>
      </c>
    </row>
    <row r="7" customFormat="false" ht="60" hidden="false" customHeight="true" outlineLevel="0" collapsed="false">
      <c r="A7" s="5" t="s">
        <v>20</v>
      </c>
      <c r="B7" s="6" t="s">
        <v>21</v>
      </c>
      <c r="C7" s="6" t="n">
        <v>200</v>
      </c>
      <c r="D7" s="6" t="s">
        <v>12</v>
      </c>
      <c r="E7" s="7" t="n">
        <f aca="false">C7*5</f>
        <v>1000</v>
      </c>
      <c r="F7" s="8" t="s">
        <v>22</v>
      </c>
      <c r="G7" s="8" t="n">
        <f aca="false">C7*20</f>
        <v>4000</v>
      </c>
      <c r="H7" s="9" t="s">
        <v>23</v>
      </c>
    </row>
    <row r="8" customFormat="false" ht="60" hidden="false" customHeight="true" outlineLevel="0" collapsed="false">
      <c r="A8" s="10" t="s">
        <v>24</v>
      </c>
      <c r="B8" s="11" t="s">
        <v>25</v>
      </c>
      <c r="C8" s="11" t="n">
        <v>250</v>
      </c>
      <c r="D8" s="11" t="s">
        <v>26</v>
      </c>
      <c r="E8" s="12" t="n">
        <f aca="false">C8*3</f>
        <v>750</v>
      </c>
      <c r="F8" s="13" t="s">
        <v>27</v>
      </c>
      <c r="G8" s="13" t="n">
        <f aca="false">C8*8</f>
        <v>2000</v>
      </c>
      <c r="H8" s="14" t="s">
        <v>28</v>
      </c>
    </row>
    <row r="9" customFormat="false" ht="60" hidden="false" customHeight="true" outlineLevel="0" collapsed="false">
      <c r="A9" s="5" t="s">
        <v>29</v>
      </c>
      <c r="B9" s="6" t="s">
        <v>30</v>
      </c>
      <c r="C9" s="6" t="n">
        <v>350</v>
      </c>
      <c r="D9" s="6" t="s">
        <v>12</v>
      </c>
      <c r="E9" s="7" t="n">
        <f aca="false">C9*5</f>
        <v>1750</v>
      </c>
      <c r="F9" s="8" t="s">
        <v>31</v>
      </c>
      <c r="G9" s="8" t="n">
        <f aca="false">C9*30</f>
        <v>10500</v>
      </c>
      <c r="H9" s="9" t="s">
        <v>32</v>
      </c>
    </row>
    <row r="10" customFormat="false" ht="60" hidden="false" customHeight="true" outlineLevel="0" collapsed="false">
      <c r="A10" s="10" t="s">
        <v>33</v>
      </c>
      <c r="B10" s="11" t="s">
        <v>34</v>
      </c>
      <c r="C10" s="11" t="n">
        <v>250</v>
      </c>
      <c r="D10" s="11" t="s">
        <v>12</v>
      </c>
      <c r="E10" s="12" t="n">
        <f aca="false">C10*5</f>
        <v>1250</v>
      </c>
      <c r="F10" s="13" t="s">
        <v>35</v>
      </c>
      <c r="G10" s="13" t="n">
        <f aca="false">C10*25</f>
        <v>6250</v>
      </c>
      <c r="H10" s="14" t="s">
        <v>36</v>
      </c>
    </row>
    <row r="11" customFormat="false" ht="60" hidden="false" customHeight="true" outlineLevel="0" collapsed="false">
      <c r="A11" s="5" t="s">
        <v>37</v>
      </c>
      <c r="B11" s="6" t="s">
        <v>38</v>
      </c>
      <c r="C11" s="6" t="n">
        <v>250</v>
      </c>
      <c r="D11" s="6" t="s">
        <v>17</v>
      </c>
      <c r="E11" s="7" t="n">
        <f aca="false">C11*4</f>
        <v>1000</v>
      </c>
      <c r="F11" s="8" t="s">
        <v>22</v>
      </c>
      <c r="G11" s="8" t="n">
        <f aca="false">C11*20</f>
        <v>5000</v>
      </c>
      <c r="H11" s="9" t="s">
        <v>39</v>
      </c>
    </row>
    <row r="12" customFormat="false" ht="60" hidden="false" customHeight="true" outlineLevel="0" collapsed="false">
      <c r="A12" s="10" t="s">
        <v>40</v>
      </c>
      <c r="B12" s="11" t="s">
        <v>41</v>
      </c>
      <c r="C12" s="11" t="n">
        <v>300</v>
      </c>
      <c r="D12" s="11" t="s">
        <v>12</v>
      </c>
      <c r="E12" s="12" t="n">
        <f aca="false">C12*5</f>
        <v>1500</v>
      </c>
      <c r="F12" s="13" t="s">
        <v>13</v>
      </c>
      <c r="G12" s="13" t="n">
        <f aca="false">C12*15</f>
        <v>4500</v>
      </c>
      <c r="H12" s="14" t="s">
        <v>42</v>
      </c>
    </row>
    <row r="13" customFormat="false" ht="60" hidden="false" customHeight="true" outlineLevel="0" collapsed="false">
      <c r="A13" s="5" t="s">
        <v>43</v>
      </c>
      <c r="B13" s="6" t="s">
        <v>44</v>
      </c>
      <c r="C13" s="6" t="n">
        <v>200</v>
      </c>
      <c r="D13" s="6" t="s">
        <v>26</v>
      </c>
      <c r="E13" s="7" t="n">
        <f aca="false">C13*3</f>
        <v>600</v>
      </c>
      <c r="F13" s="8" t="s">
        <v>13</v>
      </c>
      <c r="G13" s="8" t="n">
        <f aca="false">C13*15</f>
        <v>3000</v>
      </c>
      <c r="H13" s="9" t="s">
        <v>45</v>
      </c>
    </row>
    <row r="14" customFormat="false" ht="60" hidden="false" customHeight="true" outlineLevel="0" collapsed="false">
      <c r="A14" s="10" t="s">
        <v>46</v>
      </c>
      <c r="B14" s="11" t="s">
        <v>47</v>
      </c>
      <c r="C14" s="11" t="n">
        <v>200</v>
      </c>
      <c r="D14" s="11" t="s">
        <v>12</v>
      </c>
      <c r="E14" s="12" t="n">
        <f aca="false">C14*5</f>
        <v>1000</v>
      </c>
      <c r="F14" s="13" t="s">
        <v>31</v>
      </c>
      <c r="G14" s="13" t="n">
        <f aca="false">C14*30</f>
        <v>6000</v>
      </c>
      <c r="H14" s="14" t="s">
        <v>48</v>
      </c>
    </row>
    <row r="15" customFormat="false" ht="60" hidden="false" customHeight="true" outlineLevel="0" collapsed="false">
      <c r="A15" s="5" t="s">
        <v>49</v>
      </c>
      <c r="B15" s="6" t="s">
        <v>50</v>
      </c>
      <c r="C15" s="6" t="n">
        <v>250</v>
      </c>
      <c r="D15" s="6" t="s">
        <v>17</v>
      </c>
      <c r="E15" s="7" t="n">
        <f aca="false">C15*4</f>
        <v>1000</v>
      </c>
      <c r="F15" s="8" t="s">
        <v>22</v>
      </c>
      <c r="G15" s="8" t="n">
        <f aca="false">C15*20</f>
        <v>5000</v>
      </c>
      <c r="H15" s="9" t="s">
        <v>51</v>
      </c>
    </row>
    <row r="16" customFormat="false" ht="60" hidden="false" customHeight="true" outlineLevel="0" collapsed="false">
      <c r="A16" s="10" t="s">
        <v>52</v>
      </c>
      <c r="B16" s="11" t="s">
        <v>53</v>
      </c>
      <c r="C16" s="11" t="n">
        <v>200</v>
      </c>
      <c r="D16" s="11" t="s">
        <v>17</v>
      </c>
      <c r="E16" s="12" t="n">
        <f aca="false">C16*4</f>
        <v>800</v>
      </c>
      <c r="F16" s="13" t="s">
        <v>35</v>
      </c>
      <c r="G16" s="13" t="n">
        <f aca="false">C16*25</f>
        <v>5000</v>
      </c>
      <c r="H16" s="14" t="s">
        <v>54</v>
      </c>
    </row>
    <row r="17" customFormat="false" ht="60" hidden="false" customHeight="true" outlineLevel="0" collapsed="false">
      <c r="A17" s="5" t="s">
        <v>55</v>
      </c>
      <c r="B17" s="6" t="s">
        <v>56</v>
      </c>
      <c r="C17" s="6" t="n">
        <v>150</v>
      </c>
      <c r="D17" s="6" t="s">
        <v>12</v>
      </c>
      <c r="E17" s="7" t="n">
        <f aca="false">C17*5</f>
        <v>750</v>
      </c>
      <c r="F17" s="8" t="s">
        <v>13</v>
      </c>
      <c r="G17" s="8" t="n">
        <f aca="false">C17*15</f>
        <v>2250</v>
      </c>
      <c r="H17" s="9" t="s">
        <v>57</v>
      </c>
    </row>
    <row r="18" customFormat="false" ht="60" hidden="false" customHeight="true" outlineLevel="0" collapsed="false">
      <c r="A18" s="10" t="s">
        <v>58</v>
      </c>
      <c r="B18" s="11" t="s">
        <v>59</v>
      </c>
      <c r="C18" s="11" t="n">
        <v>150</v>
      </c>
      <c r="D18" s="11" t="s">
        <v>26</v>
      </c>
      <c r="E18" s="12" t="n">
        <f aca="false">C18*3</f>
        <v>450</v>
      </c>
      <c r="F18" s="13" t="s">
        <v>27</v>
      </c>
      <c r="G18" s="13" t="n">
        <f aca="false">C18*8</f>
        <v>1200</v>
      </c>
      <c r="H18" s="14" t="s">
        <v>60</v>
      </c>
    </row>
    <row r="19" customFormat="false" ht="60" hidden="false" customHeight="true" outlineLevel="0" collapsed="false">
      <c r="A19" s="5" t="s">
        <v>61</v>
      </c>
      <c r="B19" s="6" t="s">
        <v>62</v>
      </c>
      <c r="C19" s="6" t="n">
        <v>150</v>
      </c>
      <c r="D19" s="6" t="s">
        <v>17</v>
      </c>
      <c r="E19" s="7" t="n">
        <f aca="false">C19*4</f>
        <v>600</v>
      </c>
      <c r="F19" s="8" t="s">
        <v>63</v>
      </c>
      <c r="G19" s="8" t="n">
        <f aca="false">C19*12</f>
        <v>1800</v>
      </c>
      <c r="H19" s="9" t="s">
        <v>64</v>
      </c>
    </row>
    <row r="20" customFormat="false" ht="60" hidden="false" customHeight="true" outlineLevel="0" collapsed="false">
      <c r="A20" s="10" t="s">
        <v>65</v>
      </c>
      <c r="B20" s="11" t="s">
        <v>66</v>
      </c>
      <c r="C20" s="11" t="n">
        <v>200</v>
      </c>
      <c r="D20" s="11" t="s">
        <v>12</v>
      </c>
      <c r="E20" s="12" t="n">
        <f aca="false">C20*5</f>
        <v>1000</v>
      </c>
      <c r="F20" s="13" t="s">
        <v>67</v>
      </c>
      <c r="G20" s="13" t="n">
        <f aca="false">C20*50</f>
        <v>10000</v>
      </c>
      <c r="H20" s="14" t="s">
        <v>68</v>
      </c>
    </row>
    <row r="21" customFormat="false" ht="60" hidden="false" customHeight="true" outlineLevel="0" collapsed="false">
      <c r="A21" s="5" t="s">
        <v>69</v>
      </c>
      <c r="B21" s="6" t="s">
        <v>70</v>
      </c>
      <c r="C21" s="6" t="n">
        <v>100</v>
      </c>
      <c r="D21" s="6" t="s">
        <v>12</v>
      </c>
      <c r="E21" s="7" t="n">
        <f aca="false">C21*5</f>
        <v>500</v>
      </c>
      <c r="F21" s="8" t="s">
        <v>71</v>
      </c>
      <c r="G21" s="8" t="n">
        <f aca="false">C21*100</f>
        <v>10000</v>
      </c>
      <c r="H21" s="9" t="s">
        <v>72</v>
      </c>
    </row>
    <row r="22" customFormat="false" ht="60" hidden="false" customHeight="true" outlineLevel="0" collapsed="false">
      <c r="A22" s="10" t="s">
        <v>73</v>
      </c>
      <c r="B22" s="11" t="s">
        <v>74</v>
      </c>
      <c r="C22" s="11" t="n">
        <v>150</v>
      </c>
      <c r="D22" s="11" t="s">
        <v>12</v>
      </c>
      <c r="E22" s="12" t="n">
        <f aca="false">C22*5</f>
        <v>750</v>
      </c>
      <c r="F22" s="13" t="s">
        <v>22</v>
      </c>
      <c r="G22" s="13" t="n">
        <f aca="false">C22*20</f>
        <v>3000</v>
      </c>
      <c r="H22" s="14" t="s">
        <v>75</v>
      </c>
    </row>
    <row r="23" customFormat="false" ht="60" hidden="false" customHeight="true" outlineLevel="0" collapsed="false">
      <c r="A23" s="5" t="s">
        <v>76</v>
      </c>
      <c r="B23" s="6" t="s">
        <v>77</v>
      </c>
      <c r="C23" s="6" t="n">
        <v>250</v>
      </c>
      <c r="D23" s="6" t="s">
        <v>17</v>
      </c>
      <c r="E23" s="7" t="n">
        <f aca="false">C23*4</f>
        <v>1000</v>
      </c>
      <c r="F23" s="8" t="s">
        <v>13</v>
      </c>
      <c r="G23" s="8" t="n">
        <f aca="false">C23*15</f>
        <v>3750</v>
      </c>
      <c r="H23" s="9" t="s">
        <v>78</v>
      </c>
    </row>
    <row r="24" customFormat="false" ht="60" hidden="false" customHeight="true" outlineLevel="0" collapsed="false">
      <c r="A24" s="10" t="s">
        <v>79</v>
      </c>
      <c r="B24" s="11" t="s">
        <v>80</v>
      </c>
      <c r="C24" s="11" t="n">
        <v>200</v>
      </c>
      <c r="D24" s="11" t="s">
        <v>17</v>
      </c>
      <c r="E24" s="12" t="n">
        <f aca="false">C24*4</f>
        <v>800</v>
      </c>
      <c r="F24" s="13" t="s">
        <v>22</v>
      </c>
      <c r="G24" s="13" t="n">
        <f aca="false">C24*20</f>
        <v>4000</v>
      </c>
      <c r="H24" s="14" t="s">
        <v>81</v>
      </c>
    </row>
    <row r="25" customFormat="false" ht="60" hidden="false" customHeight="true" outlineLevel="0" collapsed="false">
      <c r="A25" s="15" t="s">
        <v>82</v>
      </c>
      <c r="B25" s="15" t="s">
        <v>83</v>
      </c>
      <c r="C25" s="6" t="n">
        <v>150</v>
      </c>
      <c r="D25" s="6" t="s">
        <v>12</v>
      </c>
      <c r="E25" s="7" t="n">
        <f aca="false">C25*5</f>
        <v>750</v>
      </c>
      <c r="F25" s="8" t="s">
        <v>31</v>
      </c>
      <c r="G25" s="8" t="n">
        <f aca="false">C25*30</f>
        <v>4500</v>
      </c>
      <c r="H25" s="9" t="s">
        <v>84</v>
      </c>
    </row>
    <row r="26" customFormat="false" ht="60" hidden="false" customHeight="true" outlineLevel="0" collapsed="false">
      <c r="A26" s="16" t="s">
        <v>85</v>
      </c>
      <c r="B26" s="16" t="s">
        <v>86</v>
      </c>
      <c r="C26" s="11" t="n">
        <v>150</v>
      </c>
      <c r="D26" s="11" t="s">
        <v>17</v>
      </c>
      <c r="E26" s="12" t="n">
        <f aca="false">C26*4</f>
        <v>600</v>
      </c>
      <c r="F26" s="13" t="s">
        <v>22</v>
      </c>
      <c r="G26" s="13" t="n">
        <f aca="false">C26*20</f>
        <v>3000</v>
      </c>
      <c r="H26" s="14" t="s">
        <v>87</v>
      </c>
    </row>
    <row r="27" customFormat="false" ht="60" hidden="false" customHeight="true" outlineLevel="0" collapsed="false">
      <c r="A27" s="15" t="s">
        <v>88</v>
      </c>
      <c r="B27" s="15" t="s">
        <v>89</v>
      </c>
      <c r="C27" s="6" t="n">
        <v>100</v>
      </c>
      <c r="D27" s="6" t="s">
        <v>12</v>
      </c>
      <c r="E27" s="7" t="n">
        <f aca="false">C27*5</f>
        <v>500</v>
      </c>
      <c r="F27" s="8" t="s">
        <v>31</v>
      </c>
      <c r="G27" s="8" t="n">
        <f aca="false">C27*30</f>
        <v>3000</v>
      </c>
      <c r="H27" s="9" t="s">
        <v>90</v>
      </c>
    </row>
    <row r="28" customFormat="false" ht="60" hidden="false" customHeight="true" outlineLevel="0" collapsed="false">
      <c r="A28" s="16" t="s">
        <v>91</v>
      </c>
      <c r="B28" s="16" t="s">
        <v>92</v>
      </c>
      <c r="C28" s="11" t="n">
        <v>150</v>
      </c>
      <c r="D28" s="11" t="s">
        <v>12</v>
      </c>
      <c r="E28" s="12" t="n">
        <f aca="false">C28*5</f>
        <v>750</v>
      </c>
      <c r="F28" s="13" t="s">
        <v>13</v>
      </c>
      <c r="G28" s="13" t="n">
        <f aca="false">C28*15</f>
        <v>2250</v>
      </c>
      <c r="H28" s="14" t="s">
        <v>93</v>
      </c>
    </row>
    <row r="29" customFormat="false" ht="60" hidden="false" customHeight="true" outlineLevel="0" collapsed="false">
      <c r="A29" s="15" t="s">
        <v>94</v>
      </c>
      <c r="B29" s="15" t="s">
        <v>95</v>
      </c>
      <c r="C29" s="6" t="n">
        <v>200</v>
      </c>
      <c r="D29" s="6" t="s">
        <v>26</v>
      </c>
      <c r="E29" s="7" t="n">
        <f aca="false">C29*3</f>
        <v>600</v>
      </c>
      <c r="F29" s="8" t="s">
        <v>27</v>
      </c>
      <c r="G29" s="8" t="n">
        <f aca="false">C29*8</f>
        <v>1600</v>
      </c>
      <c r="H29" s="9" t="s">
        <v>96</v>
      </c>
    </row>
    <row r="30" customFormat="false" ht="60" hidden="false" customHeight="true" outlineLevel="0" collapsed="false">
      <c r="A30" s="16" t="s">
        <v>97</v>
      </c>
      <c r="B30" s="16" t="s">
        <v>98</v>
      </c>
      <c r="C30" s="11" t="n">
        <v>150</v>
      </c>
      <c r="D30" s="11" t="s">
        <v>12</v>
      </c>
      <c r="E30" s="12" t="n">
        <f aca="false">C30*5</f>
        <v>750</v>
      </c>
      <c r="F30" s="13" t="s">
        <v>22</v>
      </c>
      <c r="G30" s="13" t="n">
        <f aca="false">C30*20</f>
        <v>3000</v>
      </c>
      <c r="H30" s="14" t="s">
        <v>99</v>
      </c>
    </row>
    <row r="31" customFormat="false" ht="60" hidden="false" customHeight="true" outlineLevel="0" collapsed="false">
      <c r="A31" s="15" t="s">
        <v>100</v>
      </c>
      <c r="B31" s="15" t="s">
        <v>101</v>
      </c>
      <c r="C31" s="6" t="n">
        <v>150</v>
      </c>
      <c r="D31" s="6" t="s">
        <v>12</v>
      </c>
      <c r="E31" s="7" t="n">
        <f aca="false">C31*5</f>
        <v>750</v>
      </c>
      <c r="F31" s="8" t="s">
        <v>22</v>
      </c>
      <c r="G31" s="8" t="n">
        <f aca="false">C31*20</f>
        <v>3000</v>
      </c>
      <c r="H31" s="9" t="s">
        <v>102</v>
      </c>
    </row>
    <row r="32" customFormat="false" ht="60" hidden="false" customHeight="true" outlineLevel="0" collapsed="false">
      <c r="A32" s="16" t="s">
        <v>103</v>
      </c>
      <c r="B32" s="16" t="s">
        <v>104</v>
      </c>
      <c r="C32" s="11" t="n">
        <v>150</v>
      </c>
      <c r="D32" s="11" t="s">
        <v>17</v>
      </c>
      <c r="E32" s="12" t="n">
        <f aca="false">C32*4</f>
        <v>600</v>
      </c>
      <c r="F32" s="13" t="s">
        <v>13</v>
      </c>
      <c r="G32" s="13" t="n">
        <f aca="false">C32*15</f>
        <v>2250</v>
      </c>
      <c r="H32" s="14" t="s">
        <v>105</v>
      </c>
    </row>
    <row r="33" customFormat="false" ht="60" hidden="false" customHeight="true" outlineLevel="0" collapsed="false">
      <c r="A33" s="15" t="s">
        <v>106</v>
      </c>
      <c r="B33" s="15" t="s">
        <v>107</v>
      </c>
      <c r="C33" s="6" t="n">
        <v>100</v>
      </c>
      <c r="D33" s="6" t="s">
        <v>12</v>
      </c>
      <c r="E33" s="7" t="n">
        <f aca="false">C33*5</f>
        <v>500</v>
      </c>
      <c r="F33" s="8" t="s">
        <v>35</v>
      </c>
      <c r="G33" s="8" t="n">
        <f aca="false">C33*25</f>
        <v>2500</v>
      </c>
      <c r="H33" s="9" t="s">
        <v>108</v>
      </c>
    </row>
    <row r="34" customFormat="false" ht="24.75" hidden="false" customHeight="true" outlineLevel="0" collapsed="false">
      <c r="A34" s="17" t="s">
        <v>109</v>
      </c>
      <c r="B34" s="18" t="s">
        <v>110</v>
      </c>
      <c r="C34" s="17" t="n">
        <f aca="false">C5+C6+C7+C8+C9+C10+C11+C12+C13+C14+C15+C16+C17+C18+C19+C20+C21+C22+C23+C24+C25+C26+C27+C28+C29+C30+C31+C32+C33</f>
        <v>5700</v>
      </c>
      <c r="D34" s="19"/>
      <c r="E34" s="20" t="n">
        <f aca="false">E5+E6+E7+E8+E9+E10+E11+E12+E13+E14+E15+E16+E17+E18+E19+E20+E21+E22+E23+E24+E25+E26+E27+E28+E29+E30+E31+E32+E33</f>
        <v>25000</v>
      </c>
      <c r="F34" s="19"/>
      <c r="G34" s="21" t="n">
        <f aca="false">G5+G6+G7+G8+G9+G10+G11+G12+G13+G14+G15+G16+G17+G18+G19+G20+G21+G22+G23+G24+G25+G26+G27+G28+G29+G30+G31+G32+G33</f>
        <v>119850</v>
      </c>
      <c r="H34" s="19"/>
    </row>
    <row r="36" customFormat="false" ht="15" hidden="false" customHeight="true" outlineLevel="0" collapsed="false">
      <c r="A36" s="22" t="s">
        <v>111</v>
      </c>
      <c r="B36" s="22"/>
      <c r="C36" s="22"/>
      <c r="D36" s="22"/>
      <c r="E36" s="22"/>
      <c r="F36" s="22"/>
      <c r="G36" s="22"/>
      <c r="H36" s="22"/>
    </row>
    <row r="37" customFormat="false" ht="30" hidden="false" customHeight="true" outlineLevel="0" collapsed="false">
      <c r="A37" s="23" t="s">
        <v>112</v>
      </c>
      <c r="B37" s="23"/>
      <c r="C37" s="23"/>
      <c r="D37" s="23"/>
      <c r="E37" s="23"/>
      <c r="F37" s="23"/>
      <c r="G37" s="23"/>
      <c r="H37" s="23"/>
    </row>
    <row r="38" customFormat="false" ht="30" hidden="false" customHeight="true" outlineLevel="0" collapsed="false">
      <c r="A38" s="23" t="s">
        <v>113</v>
      </c>
      <c r="B38" s="23"/>
      <c r="C38" s="23"/>
      <c r="D38" s="23"/>
      <c r="E38" s="23"/>
      <c r="F38" s="23"/>
      <c r="G38" s="23"/>
      <c r="H38" s="23"/>
    </row>
    <row r="39" customFormat="false" ht="30" hidden="false" customHeight="true" outlineLevel="0" collapsed="false">
      <c r="A39" s="23" t="s">
        <v>114</v>
      </c>
      <c r="B39" s="23"/>
      <c r="C39" s="23"/>
      <c r="D39" s="23"/>
      <c r="E39" s="23"/>
      <c r="F39" s="23"/>
      <c r="G39" s="23"/>
      <c r="H39" s="23"/>
    </row>
    <row r="40" customFormat="false" ht="30" hidden="false" customHeight="true" outlineLevel="0" collapsed="false">
      <c r="A40" s="23" t="s">
        <v>115</v>
      </c>
      <c r="B40" s="23"/>
      <c r="C40" s="23"/>
      <c r="D40" s="23"/>
      <c r="E40" s="23"/>
      <c r="F40" s="23"/>
      <c r="G40" s="23"/>
      <c r="H40" s="23"/>
    </row>
    <row r="41" customFormat="false" ht="30" hidden="false" customHeight="true" outlineLevel="0" collapsed="false">
      <c r="A41" s="23" t="s">
        <v>116</v>
      </c>
      <c r="B41" s="23"/>
      <c r="C41" s="23"/>
      <c r="D41" s="23"/>
      <c r="E41" s="23"/>
      <c r="F41" s="23"/>
      <c r="G41" s="23"/>
      <c r="H41" s="23"/>
    </row>
    <row r="42" customFormat="false" ht="30" hidden="false" customHeight="true" outlineLevel="0" collapsed="false">
      <c r="A42" s="23" t="s">
        <v>117</v>
      </c>
      <c r="B42" s="23"/>
      <c r="C42" s="23"/>
      <c r="D42" s="23"/>
      <c r="E42" s="23"/>
      <c r="F42" s="23"/>
      <c r="G42" s="23"/>
      <c r="H42" s="23"/>
    </row>
    <row r="43" customFormat="false" ht="30" hidden="false" customHeight="true" outlineLevel="0" collapsed="false">
      <c r="A43" s="23" t="s">
        <v>118</v>
      </c>
      <c r="B43" s="23"/>
      <c r="C43" s="23"/>
      <c r="D43" s="23"/>
      <c r="E43" s="23"/>
      <c r="F43" s="23"/>
      <c r="G43" s="23"/>
      <c r="H43" s="23"/>
    </row>
    <row r="44" customFormat="false" ht="30" hidden="false" customHeight="true" outlineLevel="0" collapsed="false">
      <c r="A44" s="23" t="s">
        <v>119</v>
      </c>
      <c r="B44" s="23"/>
      <c r="C44" s="23"/>
      <c r="D44" s="23"/>
      <c r="E44" s="23"/>
      <c r="F44" s="23"/>
      <c r="G44" s="23"/>
      <c r="H44" s="23"/>
    </row>
    <row r="45" customFormat="false" ht="30" hidden="false" customHeight="true" outlineLevel="0" collapsed="false">
      <c r="A45" s="23" t="s">
        <v>120</v>
      </c>
      <c r="B45" s="23"/>
      <c r="C45" s="23"/>
      <c r="D45" s="23"/>
      <c r="E45" s="23"/>
      <c r="F45" s="23"/>
      <c r="G45" s="23"/>
      <c r="H45" s="23"/>
    </row>
    <row r="46" customFormat="false" ht="30" hidden="false" customHeight="true" outlineLevel="0" collapsed="false">
      <c r="A46" s="23" t="s">
        <v>121</v>
      </c>
      <c r="B46" s="23"/>
      <c r="C46" s="23"/>
      <c r="D46" s="23"/>
      <c r="E46" s="23"/>
      <c r="F46" s="23"/>
      <c r="G46" s="23"/>
      <c r="H46" s="23"/>
    </row>
    <row r="48" customFormat="false" ht="24.75" hidden="false" customHeight="true" outlineLevel="0" collapsed="false">
      <c r="A48" s="24" t="s">
        <v>122</v>
      </c>
      <c r="B48" s="24"/>
      <c r="C48" s="24"/>
      <c r="D48" s="24"/>
      <c r="E48" s="24"/>
      <c r="F48" s="24"/>
      <c r="G48" s="24"/>
      <c r="H48" s="24"/>
    </row>
  </sheetData>
  <mergeCells count="14">
    <mergeCell ref="A1:H1"/>
    <mergeCell ref="A2:H2"/>
    <mergeCell ref="A36:H36"/>
    <mergeCell ref="A37:H37"/>
    <mergeCell ref="A38:H38"/>
    <mergeCell ref="A39:H39"/>
    <mergeCell ref="A40:H40"/>
    <mergeCell ref="A41:H41"/>
    <mergeCell ref="A42:H42"/>
    <mergeCell ref="A43:H43"/>
    <mergeCell ref="A44:H44"/>
    <mergeCell ref="A45:H45"/>
    <mergeCell ref="A46:H46"/>
    <mergeCell ref="A48:H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2026-02-24T11:01:52Z</dcterms:created>
  <dc:creator>openpyxl</dc:creator>
  <dc:description/>
  <dc:language>en-US</dc:language>
  <cp:lastModifiedBy/>
  <dcterms:modified xsi:type="dcterms:W3CDTF">2026-02-24T11:02:22Z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