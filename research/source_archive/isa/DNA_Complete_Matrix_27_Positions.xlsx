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ATRIX" sheetId="1" state="visible" r:id="rId1"/>
    <sheet xmlns:r="http://schemas.openxmlformats.org/officeDocument/2006/relationships" name="ALLOCATION MODEL" sheetId="2" state="visible" r:id="rId2"/>
    <sheet xmlns:r="http://schemas.openxmlformats.org/officeDocument/2006/relationships" name="CRUDE QUALITY" sheetId="3" state="visible" r:id="rId3"/>
    <sheet xmlns:r="http://schemas.openxmlformats.org/officeDocument/2006/relationships" name="CATALYST TIMELINE" sheetId="4" state="visible" r:id="rId4"/>
    <sheet xmlns:r="http://schemas.openxmlformats.org/officeDocument/2006/relationships" name="TOP 10 RANKINGS" sheetId="5" state="visible" r:id="rId5"/>
  </sheets>
  <definedNames>
    <definedName name="_xlnm._FilterDatabase" localSheetId="0" hidden="1">'MASTER MATRIX'!$A$4:$AG$31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;(£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B2A4A"/>
      <sz val="11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CFCE7"/>
        <bgColor rgb="00DCFCE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165" fontId="5" fillId="5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165" fontId="5" fillId="6" borderId="1" applyAlignment="1" pivotButton="0" quotePrefix="0" xfId="0">
      <alignment vertical="top" wrapText="1"/>
    </xf>
    <xf numFmtId="0" fontId="4" fillId="0" borderId="1" pivotButton="0" quotePrefix="0" xfId="0"/>
    <xf numFmtId="0" fontId="6" fillId="0" borderId="1" pivotButton="0" quotePrefix="0" xfId="0"/>
    <xf numFmtId="165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A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  <col width="8" customWidth="1" min="4" max="4"/>
    <col width="16" customWidth="1" min="5" max="5"/>
    <col width="14" customWidth="1" min="6" max="6"/>
    <col width="16" customWidth="1" min="7" max="7"/>
    <col width="8" customWidth="1" min="8" max="8"/>
    <col width="9" customWidth="1" min="9" max="9"/>
    <col width="14" customWidth="1" min="10" max="10"/>
    <col width="14" customWidth="1" min="11" max="11"/>
    <col width="9" customWidth="1" min="12" max="12"/>
    <col width="10" customWidth="1" min="13" max="13"/>
    <col width="6" customWidth="1" min="14" max="14"/>
    <col width="7" customWidth="1" min="15" max="15"/>
    <col width="9" customWidth="1" min="16" max="16"/>
    <col width="4" customWidth="1" min="17" max="17"/>
    <col width="8" customWidth="1" min="18" max="18"/>
    <col width="9" customWidth="1" min="19" max="19"/>
    <col width="9" customWidth="1" min="20" max="20"/>
    <col width="7" customWidth="1" min="21" max="21"/>
    <col width="7" customWidth="1" min="22" max="22"/>
    <col width="7" customWidth="1" min="23" max="23"/>
    <col width="9" customWidth="1" min="24" max="24"/>
    <col width="13" customWidth="1" min="25" max="25"/>
    <col width="10" customWidth="1" min="26" max="26"/>
    <col width="18" customWidth="1" min="27" max="27"/>
    <col width="8" customWidth="1" min="28" max="28"/>
    <col width="22" customWidth="1" min="29" max="29"/>
    <col width="22" customWidth="1" min="30" max="30"/>
    <col width="22" customWidth="1" min="31" max="31"/>
    <col width="18" customWidth="1" min="32" max="32"/>
    <col width="12" customWidth="1" min="33" max="33"/>
  </cols>
  <sheetData>
    <row r="1">
      <c r="A1" s="1" t="inlineStr">
        <is>
          <t>DNA ENTERTAINMENT — COMPLETE ENERGY PORTFOLIO MATRIX | 27 Positions | £10,000 Allocation | March 2026</t>
        </is>
      </c>
    </row>
    <row r="2" ht="20" customHeight="1">
      <c r="A2" s="2" t="inlineStr">
        <is>
          <t>⚠️ Speculative analysis for informational purposes only. Not financial advice. All investments carry risk including total loss of capital.</t>
        </is>
      </c>
    </row>
    <row r="4">
      <c r="A4" s="3" t="inlineStr">
        <is>
          <t>Tier</t>
        </is>
      </c>
      <c r="B4" s="3" t="inlineStr">
        <is>
          <t>Rank</t>
        </is>
      </c>
      <c r="C4" s="3" t="inlineStr">
        <is>
          <t>Ticker</t>
        </is>
      </c>
      <c r="D4" s="3" t="inlineStr">
        <is>
          <t>Exchange</t>
        </is>
      </c>
      <c r="E4" s="3" t="inlineStr">
        <is>
          <t>Company</t>
        </is>
      </c>
      <c r="F4" s="3" t="inlineStr">
        <is>
          <t>Region</t>
        </is>
      </c>
      <c r="G4" s="3" t="inlineStr">
        <is>
          <t>Crude/Gas Type</t>
        </is>
      </c>
      <c r="H4" s="3" t="inlineStr">
        <is>
          <t>API°</t>
        </is>
      </c>
      <c r="I4" s="3" t="inlineStr">
        <is>
          <t>Sulphur</t>
        </is>
      </c>
      <c r="J4" s="3" t="inlineStr">
        <is>
          <t>Brent Prem/Disc</t>
        </is>
      </c>
      <c r="K4" s="3" t="inlineStr">
        <is>
          <t>Production</t>
        </is>
      </c>
      <c r="L4" s="3" t="inlineStr">
        <is>
          <t>Mkt Cap</t>
        </is>
      </c>
      <c r="M4" s="3" t="inlineStr">
        <is>
          <t>Revenue</t>
        </is>
      </c>
      <c r="N4" s="3" t="inlineStr">
        <is>
          <t>P/E</t>
        </is>
      </c>
      <c r="O4" s="3" t="inlineStr">
        <is>
          <t>Div Yield</t>
        </is>
      </c>
      <c r="P4" s="3" t="inlineStr">
        <is>
          <t>Entry Price</t>
        </is>
      </c>
      <c r="Q4" s="3" t="inlineStr">
        <is>
          <t>Ccy</t>
        </is>
      </c>
      <c r="R4" s="3" t="inlineStr">
        <is>
          <t>Stop Loss</t>
        </is>
      </c>
      <c r="S4" s="3" t="inlineStr">
        <is>
          <t>Cons Target</t>
        </is>
      </c>
      <c r="T4" s="3" t="inlineStr">
        <is>
          <t>Agg Target</t>
        </is>
      </c>
      <c r="U4" s="3" t="inlineStr">
        <is>
          <t>Bear Mult</t>
        </is>
      </c>
      <c r="V4" s="3" t="inlineStr">
        <is>
          <t>Base Mult</t>
        </is>
      </c>
      <c r="W4" s="3" t="inlineStr">
        <is>
          <t>Bull Mult</t>
        </is>
      </c>
      <c r="X4" s="3" t="inlineStr">
        <is>
          <t>£ Allocation</t>
        </is>
      </c>
      <c r="Y4" s="3" t="inlineStr">
        <is>
          <t>Hormuz Impact</t>
        </is>
      </c>
      <c r="Z4" s="3" t="inlineStr">
        <is>
          <t>Squeeze Prob</t>
        </is>
      </c>
      <c r="AA4" s="3" t="inlineStr">
        <is>
          <t>Crude Quality Tier</t>
        </is>
      </c>
      <c r="AB4" s="3" t="inlineStr">
        <is>
          <t>Conviction /10</t>
        </is>
      </c>
      <c r="AC4" s="3" t="inlineStr">
        <is>
          <t>Q2 Catalysts</t>
        </is>
      </c>
      <c r="AD4" s="3" t="inlineStr">
        <is>
          <t>Q3 Catalysts</t>
        </is>
      </c>
      <c r="AE4" s="3" t="inlineStr">
        <is>
          <t>Q4 Catalysts</t>
        </is>
      </c>
      <c r="AF4" s="3" t="inlineStr">
        <is>
          <t>Key Risk</t>
        </is>
      </c>
      <c r="AG4" s="3" t="inlineStr">
        <is>
          <t>Action</t>
        </is>
      </c>
    </row>
    <row r="5">
      <c r="A5" s="4" t="n">
        <v>1</v>
      </c>
      <c r="B5" s="4" t="n">
        <v>1</v>
      </c>
      <c r="C5" s="4" t="inlineStr">
        <is>
          <t>AET</t>
        </is>
      </c>
      <c r="D5" s="5" t="inlineStr">
        <is>
          <t>AIM</t>
        </is>
      </c>
      <c r="E5" s="5" t="inlineStr">
        <is>
          <t>Afentra</t>
        </is>
      </c>
      <c r="F5" s="5" t="inlineStr">
        <is>
          <t>Angola</t>
        </is>
      </c>
      <c r="G5" s="5" t="inlineStr">
        <is>
          <t>Palanca Blend</t>
        </is>
      </c>
      <c r="H5" s="5" t="inlineStr">
        <is>
          <t>28-32°</t>
        </is>
      </c>
      <c r="I5" s="5" t="inlineStr">
        <is>
          <t>Low &lt;0.5%</t>
        </is>
      </c>
      <c r="J5" s="5" t="inlineStr">
        <is>
          <t>-$2 to -$4</t>
        </is>
      </c>
      <c r="K5" s="5" t="inlineStr">
        <is>
          <t>6,324 bopd</t>
        </is>
      </c>
      <c r="L5" s="5" t="inlineStr">
        <is>
          <t>£167M</t>
        </is>
      </c>
      <c r="M5" s="5" t="inlineStr">
        <is>
          <t>$114M</t>
        </is>
      </c>
      <c r="N5" s="5" t="inlineStr">
        <is>
          <t>~5x</t>
        </is>
      </c>
      <c r="O5" s="5" t="inlineStr">
        <is>
          <t>N/A</t>
        </is>
      </c>
      <c r="P5" s="5" t="n">
        <v>72</v>
      </c>
      <c r="Q5" s="5" t="inlineStr">
        <is>
          <t>p</t>
        </is>
      </c>
      <c r="R5" s="5" t="n">
        <v>58</v>
      </c>
      <c r="S5" s="5" t="n">
        <v>100</v>
      </c>
      <c r="T5" s="5" t="n">
        <v>120</v>
      </c>
      <c r="U5" s="5" t="n">
        <v>1.3</v>
      </c>
      <c r="V5" s="5" t="n">
        <v>2</v>
      </c>
      <c r="W5" s="5" t="n">
        <v>3</v>
      </c>
      <c r="X5" s="5" t="n">
        <v>1400</v>
      </c>
      <c r="Y5" s="5" t="inlineStr">
        <is>
          <t>VERY STRONG</t>
        </is>
      </c>
      <c r="Z5" s="5" t="inlineStr">
        <is>
          <t>MED-HIGH</t>
        </is>
      </c>
      <c r="AA5" s="5" t="inlineStr">
        <is>
          <t>Premium Light-Med Sweet</t>
        </is>
      </c>
      <c r="AB5" s="5" t="n">
        <v>9</v>
      </c>
      <c r="AC5" s="5" t="inlineStr">
        <is>
          <t>Etu acquisition completes
Formal bid (Rule 2.7)</t>
        </is>
      </c>
      <c r="AD5" s="5" t="inlineStr">
        <is>
          <t>Infill drilling commences
Block 3/24 progress</t>
        </is>
      </c>
      <c r="AE5" s="5" t="inlineStr">
        <is>
          <t>Block 3/24 FID
Production uplift</t>
        </is>
      </c>
      <c r="AF5" s="5" t="inlineStr">
        <is>
          <t>Bid may not materialise</t>
        </is>
      </c>
      <c r="AG5" s="5" t="inlineStr">
        <is>
          <t>STRONG BUY</t>
        </is>
      </c>
    </row>
    <row r="6">
      <c r="A6" s="4" t="n">
        <v>1</v>
      </c>
      <c r="B6" s="4" t="n">
        <v>2</v>
      </c>
      <c r="C6" s="4" t="inlineStr">
        <is>
          <t>IMPP</t>
        </is>
      </c>
      <c r="D6" s="5" t="inlineStr">
        <is>
          <t>NASDAQ</t>
        </is>
      </c>
      <c r="E6" s="5" t="inlineStr">
        <is>
          <t>Imperial Petroleum</t>
        </is>
      </c>
      <c r="F6" s="5" t="inlineStr">
        <is>
          <t>Greek Shipping</t>
        </is>
      </c>
      <c r="G6" s="5" t="inlineStr">
        <is>
          <t>N/A - Tanker Fleet</t>
        </is>
      </c>
      <c r="H6" s="5" t="inlineStr">
        <is>
          <t>N/A</t>
        </is>
      </c>
      <c r="I6" s="5" t="inlineStr">
        <is>
          <t>N/A</t>
        </is>
      </c>
      <c r="J6" s="5" t="inlineStr">
        <is>
          <t>N/A</t>
        </is>
      </c>
      <c r="K6" s="5" t="inlineStr">
        <is>
          <t>20 vessels → 26</t>
        </is>
      </c>
      <c r="L6" s="5" t="inlineStr">
        <is>
          <t>$212M</t>
        </is>
      </c>
      <c r="M6" s="5" t="inlineStr">
        <is>
          <t>$161M rev</t>
        </is>
      </c>
      <c r="N6" s="5" t="inlineStr">
        <is>
          <t>4x</t>
        </is>
      </c>
      <c r="O6" s="5" t="inlineStr">
        <is>
          <t>Pref div</t>
        </is>
      </c>
      <c r="P6" s="5" t="n">
        <v>4.1</v>
      </c>
      <c r="Q6" s="5" t="inlineStr">
        <is>
          <t>$</t>
        </is>
      </c>
      <c r="R6" s="5" t="n">
        <v>2.8</v>
      </c>
      <c r="S6" s="5" t="n">
        <v>8</v>
      </c>
      <c r="T6" s="5" t="n">
        <v>12</v>
      </c>
      <c r="U6" s="5" t="n">
        <v>1.5</v>
      </c>
      <c r="V6" s="5" t="n">
        <v>2.5</v>
      </c>
      <c r="W6" s="5" t="n">
        <v>4</v>
      </c>
      <c r="X6" s="5" t="n">
        <v>1200</v>
      </c>
      <c r="Y6" s="5" t="inlineStr">
        <is>
          <t>EXTREME</t>
        </is>
      </c>
      <c r="Z6" s="5" t="inlineStr">
        <is>
          <t>HIGH</t>
        </is>
      </c>
      <c r="AA6" s="5" t="inlineStr">
        <is>
          <t>Shipping - Rate Driven</t>
        </is>
      </c>
      <c r="AB6" s="5" t="n">
        <v>9</v>
      </c>
      <c r="AC6" s="5" t="inlineStr">
        <is>
          <t>Fleet expands to 24+
Q1 earnings at peak rates</t>
        </is>
      </c>
      <c r="AD6" s="5" t="inlineStr">
        <is>
          <t>Fleet hits 26 vessels
Sustained freight rates</t>
        </is>
      </c>
      <c r="AE6" s="5" t="inlineStr">
        <is>
          <t>NAV re-rating to $8-11</t>
        </is>
      </c>
      <c r="AF6" s="5" t="inlineStr">
        <is>
          <t>Dilutive offerings</t>
        </is>
      </c>
      <c r="AG6" s="5" t="inlineStr">
        <is>
          <t>STRONG BUY</t>
        </is>
      </c>
    </row>
    <row r="7">
      <c r="A7" s="6" t="n">
        <v>2</v>
      </c>
      <c r="B7" s="6" t="n">
        <v>3</v>
      </c>
      <c r="C7" s="6" t="inlineStr">
        <is>
          <t>KOS</t>
        </is>
      </c>
      <c r="D7" s="7" t="inlineStr">
        <is>
          <t>NYSE/LSE</t>
        </is>
      </c>
      <c r="E7" s="7" t="inlineStr">
        <is>
          <t>Kosmos Energy</t>
        </is>
      </c>
      <c r="F7" s="7" t="inlineStr">
        <is>
          <t>Ghana/Mauritania</t>
        </is>
      </c>
      <c r="G7" s="7" t="inlineStr">
        <is>
          <t>Jubilee Blend</t>
        </is>
      </c>
      <c r="H7" s="7" t="inlineStr">
        <is>
          <t>~37°</t>
        </is>
      </c>
      <c r="I7" s="7" t="inlineStr">
        <is>
          <t>Very Low</t>
        </is>
      </c>
      <c r="J7" s="7" t="inlineStr">
        <is>
          <t>Flat to +$2</t>
        </is>
      </c>
      <c r="K7" s="7" t="inlineStr">
        <is>
          <t>&gt;70,000 bopd</t>
        </is>
      </c>
      <c r="L7" s="7" t="inlineStr">
        <is>
          <t>$1.35B</t>
        </is>
      </c>
      <c r="M7" s="7" t="inlineStr">
        <is>
          <t>$290M+ FCF</t>
        </is>
      </c>
      <c r="N7" s="7" t="inlineStr">
        <is>
          <t>Neg TTM</t>
        </is>
      </c>
      <c r="O7" s="7" t="inlineStr">
        <is>
          <t>N/A</t>
        </is>
      </c>
      <c r="P7" s="7" t="n">
        <v>2.4</v>
      </c>
      <c r="Q7" s="7" t="inlineStr">
        <is>
          <t>$</t>
        </is>
      </c>
      <c r="R7" s="7" t="n">
        <v>1.6</v>
      </c>
      <c r="S7" s="7" t="n">
        <v>5</v>
      </c>
      <c r="T7" s="7" t="n">
        <v>8</v>
      </c>
      <c r="U7" s="7" t="n">
        <v>1.3</v>
      </c>
      <c r="V7" s="7" t="n">
        <v>2.5</v>
      </c>
      <c r="W7" s="7" t="n">
        <v>3.5</v>
      </c>
      <c r="X7" s="7" t="n">
        <v>700</v>
      </c>
      <c r="Y7" s="7" t="inlineStr">
        <is>
          <t>VERY STRONG</t>
        </is>
      </c>
      <c r="Z7" s="7" t="inlineStr">
        <is>
          <t>MED-HIGH</t>
        </is>
      </c>
      <c r="AA7" s="7" t="inlineStr">
        <is>
          <t>Premium Light Sweet</t>
        </is>
      </c>
      <c r="AB7" s="7" t="n">
        <v>7</v>
      </c>
      <c r="AC7" s="7" t="inlineStr">
        <is>
          <t>GTA LNG cargoes ramp
Jubilee optimisation</t>
        </is>
      </c>
      <c r="AD7" s="7" t="inlineStr">
        <is>
          <t>Analyst upgrades
EQ Guinea sale</t>
        </is>
      </c>
      <c r="AE7" s="7" t="inlineStr">
        <is>
          <t>FCF inflection from GTA</t>
        </is>
      </c>
      <c r="AF7" s="7" t="inlineStr">
        <is>
          <t>Debt leverage</t>
        </is>
      </c>
      <c r="AG7" s="7" t="inlineStr">
        <is>
          <t>BUY</t>
        </is>
      </c>
    </row>
    <row r="8">
      <c r="A8" s="6" t="n">
        <v>2</v>
      </c>
      <c r="B8" s="6" t="n">
        <v>4</v>
      </c>
      <c r="C8" s="6" t="inlineStr">
        <is>
          <t>EGY</t>
        </is>
      </c>
      <c r="D8" s="7" t="inlineStr">
        <is>
          <t>NYSE/LSE</t>
        </is>
      </c>
      <c r="E8" s="7" t="inlineStr">
        <is>
          <t>VAALCO Energy</t>
        </is>
      </c>
      <c r="F8" s="7" t="inlineStr">
        <is>
          <t>Gabon/Egypt/CdI</t>
        </is>
      </c>
      <c r="G8" s="7" t="inlineStr">
        <is>
          <t>Etame Marin Blend</t>
        </is>
      </c>
      <c r="H8" s="7" t="inlineStr">
        <is>
          <t>~31°</t>
        </is>
      </c>
      <c r="I8" s="7" t="inlineStr">
        <is>
          <t>Low Sweet</t>
        </is>
      </c>
      <c r="J8" s="7" t="inlineStr">
        <is>
          <t>Flat</t>
        </is>
      </c>
      <c r="K8" s="7" t="inlineStr">
        <is>
          <t>~20,000 boepd</t>
        </is>
      </c>
      <c r="L8" s="7" t="inlineStr">
        <is>
          <t>$640M</t>
        </is>
      </c>
      <c r="M8" s="7" t="inlineStr">
        <is>
          <t>$359M</t>
        </is>
      </c>
      <c r="N8" s="7" t="inlineStr">
        <is>
          <t>Neg TTM</t>
        </is>
      </c>
      <c r="O8" s="7" t="inlineStr">
        <is>
          <t>6.5%</t>
        </is>
      </c>
      <c r="P8" s="7" t="n">
        <v>6.25</v>
      </c>
      <c r="Q8" s="7" t="inlineStr">
        <is>
          <t>$</t>
        </is>
      </c>
      <c r="R8" s="7" t="n">
        <v>4.5</v>
      </c>
      <c r="S8" s="7" t="n">
        <v>10</v>
      </c>
      <c r="T8" s="7" t="n">
        <v>15</v>
      </c>
      <c r="U8" s="7" t="n">
        <v>1.3</v>
      </c>
      <c r="V8" s="7" t="n">
        <v>2</v>
      </c>
      <c r="W8" s="7" t="n">
        <v>3</v>
      </c>
      <c r="X8" s="7" t="n">
        <v>600</v>
      </c>
      <c r="Y8" s="7" t="inlineStr">
        <is>
          <t>EXTREME</t>
        </is>
      </c>
      <c r="Z8" s="7" t="inlineStr">
        <is>
          <t>MED-HIGH</t>
        </is>
      </c>
      <c r="AA8" s="7" t="inlineStr">
        <is>
          <t>Light Sweet African</t>
        </is>
      </c>
      <c r="AB8" s="7" t="n">
        <v>7</v>
      </c>
      <c r="AC8" s="7" t="inlineStr">
        <is>
          <t>Gabon ET-14 completes
Baobab FPSO returns</t>
        </is>
      </c>
      <c r="AD8" s="7" t="inlineStr">
        <is>
          <t>Kossipo FDP (102 MMBOE)</t>
        </is>
      </c>
      <c r="AE8" s="7" t="inlineStr">
        <is>
          <t>Production ramp dual campaigns</t>
        </is>
      </c>
      <c r="AF8" s="7" t="inlineStr">
        <is>
          <t>FPSO delays</t>
        </is>
      </c>
      <c r="AG8" s="7" t="inlineStr">
        <is>
          <t>BUY</t>
        </is>
      </c>
    </row>
    <row r="9">
      <c r="A9" s="6" t="n">
        <v>2</v>
      </c>
      <c r="B9" s="6" t="n">
        <v>5</v>
      </c>
      <c r="C9" s="6" t="inlineStr">
        <is>
          <t>JSE</t>
        </is>
      </c>
      <c r="D9" s="7" t="inlineStr">
        <is>
          <t>AIM</t>
        </is>
      </c>
      <c r="E9" s="7" t="inlineStr">
        <is>
          <t>Jadestone Energy</t>
        </is>
      </c>
      <c r="F9" s="7" t="inlineStr">
        <is>
          <t>Australia/Malaysia</t>
        </is>
      </c>
      <c r="G9" s="7" t="inlineStr">
        <is>
          <t>Montara/PM323</t>
        </is>
      </c>
      <c r="H9" s="7" t="inlineStr">
        <is>
          <t>38-47°</t>
        </is>
      </c>
      <c r="I9" s="7" t="inlineStr">
        <is>
          <t>Ultra-low</t>
        </is>
      </c>
      <c r="J9" s="7" t="inlineStr">
        <is>
          <t>+$3 to +$10</t>
        </is>
      </c>
      <c r="K9" s="7" t="inlineStr">
        <is>
          <t>~12,000+ boepd</t>
        </is>
      </c>
      <c r="L9" s="7" t="inlineStr">
        <is>
          <t>~£150M</t>
        </is>
      </c>
      <c r="M9" s="7" t="inlineStr">
        <is>
          <t>$395M</t>
        </is>
      </c>
      <c r="N9" s="7" t="inlineStr">
        <is>
          <t>Neg</t>
        </is>
      </c>
      <c r="O9" s="7" t="inlineStr">
        <is>
          <t>N/A</t>
        </is>
      </c>
      <c r="P9" s="7" t="n">
        <v>28</v>
      </c>
      <c r="Q9" s="7" t="inlineStr">
        <is>
          <t>p</t>
        </is>
      </c>
      <c r="R9" s="7" t="n">
        <v>20</v>
      </c>
      <c r="S9" s="7" t="n">
        <v>45</v>
      </c>
      <c r="T9" s="7" t="n">
        <v>54</v>
      </c>
      <c r="U9" s="7" t="n">
        <v>1</v>
      </c>
      <c r="V9" s="7" t="n">
        <v>1.7</v>
      </c>
      <c r="W9" s="7" t="n">
        <v>2.5</v>
      </c>
      <c r="X9" s="7" t="n">
        <v>500</v>
      </c>
      <c r="Y9" s="7" t="inlineStr">
        <is>
          <t>STRONG</t>
        </is>
      </c>
      <c r="Z9" s="7" t="inlineStr">
        <is>
          <t>MED-HIGH</t>
        </is>
      </c>
      <c r="AA9" s="7" t="inlineStr">
        <is>
          <t>Condensate/Light - ASIA PREMIUM</t>
        </is>
      </c>
      <c r="AB9" s="7" t="n">
        <v>7</v>
      </c>
      <c r="AC9" s="7" t="inlineStr">
        <is>
          <t>Vietnam FDP approval
PM323 drilling Q2</t>
        </is>
      </c>
      <c r="AD9" s="7" t="inlineStr">
        <is>
          <t>RBL refinancing
Production growth</t>
        </is>
      </c>
      <c r="AE9" s="7" t="inlineStr">
        <is>
          <t>PM323 licence extension</t>
        </is>
      </c>
      <c r="AF9" s="7" t="inlineStr">
        <is>
          <t>Hedging caps upside</t>
        </is>
      </c>
      <c r="AG9" s="7" t="inlineStr">
        <is>
          <t>STRONG BUY</t>
        </is>
      </c>
    </row>
    <row r="10">
      <c r="A10" s="6" t="n">
        <v>2</v>
      </c>
      <c r="B10" s="6" t="n">
        <v>6</v>
      </c>
      <c r="C10" s="6" t="inlineStr">
        <is>
          <t>GKP</t>
        </is>
      </c>
      <c r="D10" s="7" t="inlineStr">
        <is>
          <t>LSE/Oslo</t>
        </is>
      </c>
      <c r="E10" s="7" t="inlineStr">
        <is>
          <t>Gulf Keystone</t>
        </is>
      </c>
      <c r="F10" s="7" t="inlineStr">
        <is>
          <t>Kurdistan/Iraq</t>
        </is>
      </c>
      <c r="G10" s="7" t="inlineStr">
        <is>
          <t>Shaikan Crude</t>
        </is>
      </c>
      <c r="H10" s="7" t="inlineStr">
        <is>
          <t>~35°</t>
        </is>
      </c>
      <c r="I10" s="7" t="inlineStr">
        <is>
          <t>Low-Med</t>
        </is>
      </c>
      <c r="J10" s="7" t="inlineStr">
        <is>
          <t>-$10 to -$20 (interim)</t>
        </is>
      </c>
      <c r="K10" s="7" t="inlineStr">
        <is>
          <t>41,560 bopd (shut-in)</t>
        </is>
      </c>
      <c r="L10" s="7" t="inlineStr">
        <is>
          <t>£447M</t>
        </is>
      </c>
      <c r="M10" s="7" t="inlineStr">
        <is>
          <t>$111M EBITDA</t>
        </is>
      </c>
      <c r="N10" s="7" t="inlineStr">
        <is>
          <t>~6x</t>
        </is>
      </c>
      <c r="O10" s="7" t="inlineStr">
        <is>
          <t>12.4%</t>
        </is>
      </c>
      <c r="P10" s="7" t="n">
        <v>204</v>
      </c>
      <c r="Q10" s="7" t="inlineStr">
        <is>
          <t>p</t>
        </is>
      </c>
      <c r="R10" s="7" t="n">
        <v>165</v>
      </c>
      <c r="S10" s="7" t="n">
        <v>300</v>
      </c>
      <c r="T10" s="7" t="n">
        <v>360</v>
      </c>
      <c r="U10" s="7" t="n">
        <v>0.5</v>
      </c>
      <c r="V10" s="7" t="n">
        <v>1.8</v>
      </c>
      <c r="W10" s="7" t="n">
        <v>3.5</v>
      </c>
      <c r="X10" s="7" t="n">
        <v>400</v>
      </c>
      <c r="Y10" s="7" t="inlineStr">
        <is>
          <t>EXTREME BINARY</t>
        </is>
      </c>
      <c r="Z10" s="7" t="inlineStr">
        <is>
          <t>MED-HIGH</t>
        </is>
      </c>
      <c r="AA10" s="7" t="inlineStr">
        <is>
          <t>Light Sweet - CEYHAN PREMIUM</t>
        </is>
      </c>
      <c r="AB10" s="7" t="n">
        <v>7</v>
      </c>
      <c r="AC10" s="7" t="inlineStr">
        <is>
          <t>Dividend Apr 27
AIM 100 rebalance
Restart?</t>
        </is>
      </c>
      <c r="AD10" s="7" t="inlineStr">
        <is>
          <t>International pricing review</t>
        </is>
      </c>
      <c r="AE10" s="7" t="inlineStr">
        <is>
          <t>Drilling restart if payments</t>
        </is>
      </c>
      <c r="AF10" s="7" t="inlineStr">
        <is>
          <t>Iran conflict proximity</t>
        </is>
      </c>
      <c r="AG10" s="7" t="inlineStr">
        <is>
          <t>HOLD - restart catalyst</t>
        </is>
      </c>
    </row>
    <row r="11">
      <c r="A11" s="6" t="n">
        <v>2</v>
      </c>
      <c r="B11" s="6" t="n">
        <v>7</v>
      </c>
      <c r="C11" s="6" t="inlineStr">
        <is>
          <t>FRO</t>
        </is>
      </c>
      <c r="D11" s="7" t="inlineStr">
        <is>
          <t>NYSE/Oslo</t>
        </is>
      </c>
      <c r="E11" s="7" t="inlineStr">
        <is>
          <t>Frontline</t>
        </is>
      </c>
      <c r="F11" s="7" t="inlineStr">
        <is>
          <t>Global Shipping</t>
        </is>
      </c>
      <c r="G11" s="7" t="inlineStr">
        <is>
          <t>N/A - VLCC Fleet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N/A</t>
        </is>
      </c>
      <c r="K11" s="7" t="inlineStr">
        <is>
          <t>81 vessels</t>
        </is>
      </c>
      <c r="L11" s="7" t="inlineStr">
        <is>
          <t>$7.2B</t>
        </is>
      </c>
      <c r="M11" s="7" t="inlineStr">
        <is>
          <t>$1.97B</t>
        </is>
      </c>
      <c r="N11" s="7" t="inlineStr">
        <is>
          <t>18x</t>
        </is>
      </c>
      <c r="O11" s="7" t="inlineStr">
        <is>
          <t>~12%</t>
        </is>
      </c>
      <c r="P11" s="7" t="n">
        <v>33.78</v>
      </c>
      <c r="Q11" s="7" t="inlineStr">
        <is>
          <t>$</t>
        </is>
      </c>
      <c r="R11" s="7" t="n">
        <v>25</v>
      </c>
      <c r="S11" s="7" t="n">
        <v>42</v>
      </c>
      <c r="T11" s="7" t="n">
        <v>55</v>
      </c>
      <c r="U11" s="7" t="n">
        <v>0.8</v>
      </c>
      <c r="V11" s="7" t="n">
        <v>1.5</v>
      </c>
      <c r="W11" s="7" t="n">
        <v>2.5</v>
      </c>
      <c r="X11" s="7" t="n">
        <v>500</v>
      </c>
      <c r="Y11" s="7" t="inlineStr">
        <is>
          <t>EXTREME</t>
        </is>
      </c>
      <c r="Z11" s="7" t="inlineStr">
        <is>
          <t>MED-HIGH</t>
        </is>
      </c>
      <c r="AA11" s="7" t="inlineStr">
        <is>
          <t>Shipping - VLCC Rates</t>
        </is>
      </c>
      <c r="AB11" s="7" t="n">
        <v>7</v>
      </c>
      <c r="AC11" s="7" t="inlineStr">
        <is>
          <t>Q1 earnings $107k/day
Newbuilding deliveries</t>
        </is>
      </c>
      <c r="AD11" s="7" t="inlineStr">
        <is>
          <t>Sustained elevated rates</t>
        </is>
      </c>
      <c r="AE11" s="7" t="inlineStr">
        <is>
          <t>Rate normalisation risk</t>
        </is>
      </c>
      <c r="AF11" s="7" t="inlineStr">
        <is>
          <t>Cyclical rate collapse</t>
        </is>
      </c>
      <c r="AG11" s="7" t="inlineStr">
        <is>
          <t>BUY</t>
        </is>
      </c>
    </row>
    <row r="12">
      <c r="A12" s="6" t="n">
        <v>2</v>
      </c>
      <c r="B12" s="6" t="n">
        <v>8</v>
      </c>
      <c r="C12" s="6" t="inlineStr">
        <is>
          <t>AXL</t>
        </is>
      </c>
      <c r="D12" s="7" t="inlineStr">
        <is>
          <t>AIM/TSX-V</t>
        </is>
      </c>
      <c r="E12" s="7" t="inlineStr">
        <is>
          <t>Arrow Exploration</t>
        </is>
      </c>
      <c r="F12" s="7" t="inlineStr">
        <is>
          <t>Colombia</t>
        </is>
      </c>
      <c r="G12" s="7" t="inlineStr">
        <is>
          <t>Llanos Basin Crude</t>
        </is>
      </c>
      <c r="H12" s="7" t="inlineStr">
        <is>
          <t>~31°</t>
        </is>
      </c>
      <c r="I12" s="7" t="inlineStr">
        <is>
          <t>Sweet</t>
        </is>
      </c>
      <c r="J12" s="7" t="inlineStr">
        <is>
          <t>Brent-linked</t>
        </is>
      </c>
      <c r="K12" s="7" t="inlineStr">
        <is>
          <t>5,325+ bopd</t>
        </is>
      </c>
      <c r="L12" s="7" t="inlineStr">
        <is>
          <t>~£85M</t>
        </is>
      </c>
      <c r="M12" s="7" t="inlineStr">
        <is>
          <t>$3M/mo FCF</t>
        </is>
      </c>
      <c r="N12" s="7" t="inlineStr">
        <is>
          <t>Low</t>
        </is>
      </c>
      <c r="O12" s="7" t="inlineStr">
        <is>
          <t>N/A</t>
        </is>
      </c>
      <c r="P12" s="7" t="n">
        <v>16</v>
      </c>
      <c r="Q12" s="7" t="inlineStr">
        <is>
          <t>p</t>
        </is>
      </c>
      <c r="R12" s="7" t="n">
        <v>12</v>
      </c>
      <c r="S12" s="7" t="n">
        <v>28</v>
      </c>
      <c r="T12" s="7" t="n">
        <v>40</v>
      </c>
      <c r="U12" s="7" t="n">
        <v>1.2</v>
      </c>
      <c r="V12" s="7" t="n">
        <v>2</v>
      </c>
      <c r="W12" s="7" t="n">
        <v>3.5</v>
      </c>
      <c r="X12" s="7" t="n">
        <v>500</v>
      </c>
      <c r="Y12" s="7" t="inlineStr">
        <is>
          <t>STRONG</t>
        </is>
      </c>
      <c r="Z12" s="7" t="inlineStr">
        <is>
          <t>MED-HIGH</t>
        </is>
      </c>
      <c r="AA12" s="7" t="inlineStr">
        <is>
          <t>Light Sweet Colombian</t>
        </is>
      </c>
      <c r="AB12" s="7" t="n">
        <v>7</v>
      </c>
      <c r="AC12" s="7" t="inlineStr">
        <is>
          <t>Icaco exploration (April)
M-12Hz online</t>
        </is>
      </c>
      <c r="AD12" s="7" t="inlineStr">
        <is>
          <t>Production 6,000+ bopd</t>
        </is>
      </c>
      <c r="AE12" s="7" t="inlineStr">
        <is>
          <t>Further dev drilling</t>
        </is>
      </c>
      <c r="AF12" s="7" t="inlineStr">
        <is>
          <t>Colombia political</t>
        </is>
      </c>
      <c r="AG12" s="7" t="inlineStr">
        <is>
          <t>BUY</t>
        </is>
      </c>
    </row>
    <row r="13">
      <c r="A13" s="6" t="n">
        <v>2</v>
      </c>
      <c r="B13" s="6" t="n">
        <v>9</v>
      </c>
      <c r="C13" s="6" t="inlineStr">
        <is>
          <t>PXEN</t>
        </is>
      </c>
      <c r="D13" s="7" t="inlineStr">
        <is>
          <t>AIM</t>
        </is>
      </c>
      <c r="E13" s="7" t="inlineStr">
        <is>
          <t>Prospex Energy</t>
        </is>
      </c>
      <c r="F13" s="7" t="inlineStr">
        <is>
          <t>Spain/Italy/Poland</t>
        </is>
      </c>
      <c r="G13" s="7" t="inlineStr">
        <is>
          <t>European Nat Gas</t>
        </is>
      </c>
      <c r="H13" s="7" t="inlineStr">
        <is>
          <t>Gas</t>
        </is>
      </c>
      <c r="I13" s="7" t="inlineStr">
        <is>
          <t>None</t>
        </is>
      </c>
      <c r="J13" s="7" t="inlineStr">
        <is>
          <t>TTF-priced</t>
        </is>
      </c>
      <c r="K13" s="7" t="inlineStr">
        <is>
          <t>Small - ramping</t>
        </is>
      </c>
      <c r="L13" s="7" t="inlineStr">
        <is>
          <t>£21M</t>
        </is>
      </c>
      <c r="M13" s="7" t="inlineStr">
        <is>
          <t>Growing</t>
        </is>
      </c>
      <c r="N13" s="7" t="inlineStr">
        <is>
          <t>Pre-profit</t>
        </is>
      </c>
      <c r="O13" s="7" t="inlineStr">
        <is>
          <t>N/A</t>
        </is>
      </c>
      <c r="P13" s="7" t="n">
        <v>4.85</v>
      </c>
      <c r="Q13" s="7" t="inlineStr">
        <is>
          <t>p</t>
        </is>
      </c>
      <c r="R13" s="7" t="n">
        <v>3</v>
      </c>
      <c r="S13" s="7" t="n">
        <v>12</v>
      </c>
      <c r="T13" s="7" t="n">
        <v>20</v>
      </c>
      <c r="U13" s="7" t="n">
        <v>1.2</v>
      </c>
      <c r="V13" s="7" t="n">
        <v>2.5</v>
      </c>
      <c r="W13" s="7" t="n">
        <v>5</v>
      </c>
      <c r="X13" s="7" t="n">
        <v>400</v>
      </c>
      <c r="Y13" s="7" t="inlineStr">
        <is>
          <t>VERY STRONG</t>
        </is>
      </c>
      <c r="Z13" s="7" t="inlineStr">
        <is>
          <t>MED-HIGH</t>
        </is>
      </c>
      <c r="AA13" s="7" t="inlineStr">
        <is>
          <t>EU Gas - TTF Premium</t>
        </is>
      </c>
      <c r="AB13" s="7" t="n">
        <v>4</v>
      </c>
      <c r="AC13" s="7" t="inlineStr">
        <is>
          <t>El Romeral optimisation
5-well permits pending</t>
        </is>
      </c>
      <c r="AD13" s="7" t="inlineStr">
        <is>
          <t>Polish licence awards</t>
        </is>
      </c>
      <c r="AE13" s="7" t="inlineStr">
        <is>
          <t>El Romeral drilling begins</t>
        </is>
      </c>
      <c r="AF13" s="7" t="inlineStr">
        <is>
          <t>Spanish permitting delays</t>
        </is>
      </c>
      <c r="AG13" s="7" t="inlineStr">
        <is>
          <t>BUY</t>
        </is>
      </c>
    </row>
    <row r="14">
      <c r="A14" s="6" t="n">
        <v>2</v>
      </c>
      <c r="B14" s="6" t="n">
        <v>10</v>
      </c>
      <c r="C14" s="6" t="inlineStr">
        <is>
          <t>SEPL</t>
        </is>
      </c>
      <c r="D14" s="7" t="inlineStr">
        <is>
          <t>LSE/NGX</t>
        </is>
      </c>
      <c r="E14" s="7" t="inlineStr">
        <is>
          <t>Seplat Energy</t>
        </is>
      </c>
      <c r="F14" s="7" t="inlineStr">
        <is>
          <t>Nigeria</t>
        </is>
      </c>
      <c r="G14" s="7" t="inlineStr">
        <is>
          <t>Bonny Light/Qua Iboe</t>
        </is>
      </c>
      <c r="H14" s="7" t="inlineStr">
        <is>
          <t>~35°</t>
        </is>
      </c>
      <c r="I14" s="7" t="inlineStr">
        <is>
          <t>Ultra-low &lt;0.1%</t>
        </is>
      </c>
      <c r="J14" s="7" t="inlineStr">
        <is>
          <t>+$2 to +$5</t>
        </is>
      </c>
      <c r="K14" s="7" t="inlineStr">
        <is>
          <t>131,506 boepd</t>
        </is>
      </c>
      <c r="L14" s="7" t="inlineStr">
        <is>
          <t>$4.02B</t>
        </is>
      </c>
      <c r="M14" s="7" t="inlineStr">
        <is>
          <t>$2.7B</t>
        </is>
      </c>
      <c r="N14" s="7" t="inlineStr">
        <is>
          <t>~25x</t>
        </is>
      </c>
      <c r="O14" s="7" t="inlineStr">
        <is>
          <t>3.5%</t>
        </is>
      </c>
      <c r="P14" s="7" t="n">
        <v>456</v>
      </c>
      <c r="Q14" s="7" t="inlineStr">
        <is>
          <t>p</t>
        </is>
      </c>
      <c r="R14" s="7" t="n">
        <v>350</v>
      </c>
      <c r="S14" s="7" t="n">
        <v>600</v>
      </c>
      <c r="T14" s="7" t="n">
        <v>750</v>
      </c>
      <c r="U14" s="7" t="n">
        <v>1.1</v>
      </c>
      <c r="V14" s="7" t="n">
        <v>1.4</v>
      </c>
      <c r="W14" s="7" t="n">
        <v>1.8</v>
      </c>
      <c r="X14" s="7" t="n">
        <v>400</v>
      </c>
      <c r="Y14" s="7" t="inlineStr">
        <is>
          <t>VERY STRONG</t>
        </is>
      </c>
      <c r="Z14" s="7" t="inlineStr">
        <is>
          <t>MED</t>
        </is>
      </c>
      <c r="AA14" s="7" t="inlineStr">
        <is>
          <t>WORLD'S MOST PREMIUM CRUDE</t>
        </is>
      </c>
      <c r="AB14" s="7" t="n">
        <v>7</v>
      </c>
      <c r="AC14" s="7" t="inlineStr">
        <is>
          <t>ANOH gas ramp
MPNU integration</t>
        </is>
      </c>
      <c r="AD14" s="7" t="inlineStr">
        <is>
          <t>Yoho platform restart</t>
        </is>
      </c>
      <c r="AE14" s="7" t="inlineStr">
        <is>
          <t>Approaching 155 kboepd</t>
        </is>
      </c>
      <c r="AF14" s="7" t="inlineStr">
        <is>
          <t>Nigeria political/security</t>
        </is>
      </c>
      <c r="AG14" s="7" t="inlineStr">
        <is>
          <t>BUY</t>
        </is>
      </c>
    </row>
    <row r="15">
      <c r="A15" s="6" t="n">
        <v>2</v>
      </c>
      <c r="B15" s="6" t="n">
        <v>11</v>
      </c>
      <c r="C15" s="6" t="inlineStr">
        <is>
          <t>BOR</t>
        </is>
      </c>
      <c r="D15" s="7" t="inlineStr">
        <is>
          <t>AIM</t>
        </is>
      </c>
      <c r="E15" s="7" t="inlineStr">
        <is>
          <t>Borders &amp; Southern</t>
        </is>
      </c>
      <c r="F15" s="7" t="inlineStr">
        <is>
          <t>Falklands</t>
        </is>
      </c>
      <c r="G15" s="7" t="inlineStr">
        <is>
          <t>Darwin Gas Condensate</t>
        </is>
      </c>
      <c r="H15" s="7" t="inlineStr">
        <is>
          <t>46-49°</t>
        </is>
      </c>
      <c r="I15" s="7" t="inlineStr">
        <is>
          <t>Ultra-low (nil)</t>
        </is>
      </c>
      <c r="J15" s="7" t="inlineStr">
        <is>
          <t>Condensate +$5-10</t>
        </is>
      </c>
      <c r="K15" s="7" t="inlineStr">
        <is>
          <t>Pre-development</t>
        </is>
      </c>
      <c r="L15" s="7" t="inlineStr">
        <is>
          <t>£92M</t>
        </is>
      </c>
      <c r="M15" s="7" t="inlineStr">
        <is>
          <t>Nil</t>
        </is>
      </c>
      <c r="N15" s="7" t="inlineStr">
        <is>
          <t>N/A</t>
        </is>
      </c>
      <c r="O15" s="7" t="inlineStr">
        <is>
          <t>N/A</t>
        </is>
      </c>
      <c r="P15" s="7" t="n">
        <v>10</v>
      </c>
      <c r="Q15" s="7" t="inlineStr">
        <is>
          <t>p</t>
        </is>
      </c>
      <c r="R15" s="7" t="n">
        <v>5</v>
      </c>
      <c r="S15" s="7" t="n">
        <v>25</v>
      </c>
      <c r="T15" s="7" t="n">
        <v>80</v>
      </c>
      <c r="U15" s="7" t="n">
        <v>0.7</v>
      </c>
      <c r="V15" s="7" t="n">
        <v>2</v>
      </c>
      <c r="W15" s="7" t="n">
        <v>8</v>
      </c>
      <c r="X15" s="7" t="n">
        <v>300</v>
      </c>
      <c r="Y15" s="7" t="inlineStr">
        <is>
          <t>VERY STRONG</t>
        </is>
      </c>
      <c r="Z15" s="7" t="inlineStr">
        <is>
          <t>MED-HIGH</t>
        </is>
      </c>
      <c r="AA15" s="7" t="inlineStr">
        <is>
          <t>ULTRA-LIGHT CONDENSATE</t>
        </is>
      </c>
      <c r="AB15" s="7" t="n">
        <v>5</v>
      </c>
      <c r="AC15" s="7" t="inlineStr">
        <is>
          <t>Partner discussions advance</t>
        </is>
      </c>
      <c r="AD15" s="7" t="inlineStr">
        <is>
          <t>Dev partner announcement?</t>
        </is>
      </c>
      <c r="AE15" s="7" t="inlineStr">
        <is>
          <t>Pre-FEED if partner found</t>
        </is>
      </c>
      <c r="AF15" s="7" t="inlineStr">
        <is>
          <t>Cash runway / binary</t>
        </is>
      </c>
      <c r="AG15" s="7" t="inlineStr">
        <is>
          <t>SPECULATIVE BUY</t>
        </is>
      </c>
    </row>
    <row r="16">
      <c r="A16" s="6" t="n">
        <v>2</v>
      </c>
      <c r="B16" s="6" t="n">
        <v>12</v>
      </c>
      <c r="C16" s="6" t="inlineStr">
        <is>
          <t>RKH</t>
        </is>
      </c>
      <c r="D16" s="7" t="inlineStr">
        <is>
          <t>AIM</t>
        </is>
      </c>
      <c r="E16" s="7" t="inlineStr">
        <is>
          <t>Rockhopper</t>
        </is>
      </c>
      <c r="F16" s="7" t="inlineStr">
        <is>
          <t>Falklands</t>
        </is>
      </c>
      <c r="G16" s="7" t="inlineStr">
        <is>
          <t>Sea Lion Crude</t>
        </is>
      </c>
      <c r="H16" s="7" t="inlineStr">
        <is>
          <t>~32°</t>
        </is>
      </c>
      <c r="I16" s="7" t="inlineStr">
        <is>
          <t>Low &lt;0.3%</t>
        </is>
      </c>
      <c r="J16" s="7" t="inlineStr">
        <is>
          <t>-$1 to flat</t>
        </is>
      </c>
      <c r="K16" s="7" t="inlineStr">
        <is>
          <t>Pre-development (FID'd)</t>
        </is>
      </c>
      <c r="L16" s="7" t="inlineStr">
        <is>
          <t>£797M</t>
        </is>
      </c>
      <c r="M16" s="7" t="inlineStr">
        <is>
          <t>Nil</t>
        </is>
      </c>
      <c r="N16" s="7" t="inlineStr">
        <is>
          <t>N/A</t>
        </is>
      </c>
      <c r="O16" s="7" t="inlineStr">
        <is>
          <t>N/A</t>
        </is>
      </c>
      <c r="P16" s="7" t="n">
        <v>75</v>
      </c>
      <c r="Q16" s="7" t="inlineStr">
        <is>
          <t>p</t>
        </is>
      </c>
      <c r="R16" s="7" t="n">
        <v>55</v>
      </c>
      <c r="S16" s="7" t="n">
        <v>97</v>
      </c>
      <c r="T16" s="7" t="n">
        <v>130</v>
      </c>
      <c r="U16" s="7" t="n">
        <v>1</v>
      </c>
      <c r="V16" s="7" t="n">
        <v>1.5</v>
      </c>
      <c r="W16" s="7" t="n">
        <v>2.5</v>
      </c>
      <c r="X16" s="7" t="n">
        <v>300</v>
      </c>
      <c r="Y16" s="7" t="inlineStr">
        <is>
          <t>VERY STRONG</t>
        </is>
      </c>
      <c r="Z16" s="7" t="inlineStr">
        <is>
          <t>MED-HIGH</t>
        </is>
      </c>
      <c r="AA16" s="7" t="inlineStr">
        <is>
          <t>Light Sweet Atlantic</t>
        </is>
      </c>
      <c r="AB16" s="7" t="n">
        <v>6</v>
      </c>
      <c r="AC16" s="7" t="inlineStr">
        <is>
          <t>Phase 1 engineering
Navitas milestones</t>
        </is>
      </c>
      <c r="AD16" s="7" t="inlineStr">
        <is>
          <t>Development milestones</t>
        </is>
      </c>
      <c r="AE16" s="7" t="inlineStr">
        <is>
          <t>First oil timeline confirm</t>
        </is>
      </c>
      <c r="AF16" s="7" t="inlineStr">
        <is>
          <t>Argentina geo risk</t>
        </is>
      </c>
      <c r="AG16" s="7" t="inlineStr">
        <is>
          <t>HOLD</t>
        </is>
      </c>
    </row>
    <row r="17">
      <c r="A17" s="6" t="n">
        <v>2</v>
      </c>
      <c r="B17" s="6" t="n">
        <v>13</v>
      </c>
      <c r="C17" s="6" t="inlineStr">
        <is>
          <t>ENQ</t>
        </is>
      </c>
      <c r="D17" s="7" t="inlineStr">
        <is>
          <t>AIM</t>
        </is>
      </c>
      <c r="E17" s="7" t="inlineStr">
        <is>
          <t>EnQuest</t>
        </is>
      </c>
      <c r="F17" s="7" t="inlineStr">
        <is>
          <t>UK North Sea/SEA</t>
        </is>
      </c>
      <c r="G17" s="7" t="inlineStr">
        <is>
          <t>North Sea Basket + Asia</t>
        </is>
      </c>
      <c r="H17" s="7" t="inlineStr">
        <is>
          <t>Mixed 30-40°</t>
        </is>
      </c>
      <c r="I17" s="7" t="inlineStr">
        <is>
          <t>Mixed</t>
        </is>
      </c>
      <c r="J17" s="7" t="inlineStr">
        <is>
          <t>Brent-linked + Asia prem</t>
        </is>
      </c>
      <c r="K17" s="7" t="inlineStr">
        <is>
          <t>42,945 boepd</t>
        </is>
      </c>
      <c r="L17" s="7" t="inlineStr">
        <is>
          <t>£230M</t>
        </is>
      </c>
      <c r="M17" s="7" t="inlineStr">
        <is>
          <t>$1.12B</t>
        </is>
      </c>
      <c r="N17" s="7" t="inlineStr">
        <is>
          <t>~5x</t>
        </is>
      </c>
      <c r="O17" s="7" t="inlineStr">
        <is>
          <t>5%</t>
        </is>
      </c>
      <c r="P17" s="7" t="n">
        <v>13</v>
      </c>
      <c r="Q17" s="7" t="inlineStr">
        <is>
          <t>p</t>
        </is>
      </c>
      <c r="R17" s="7" t="n">
        <v>9</v>
      </c>
      <c r="S17" s="7" t="n">
        <v>22</v>
      </c>
      <c r="T17" s="7" t="n">
        <v>30</v>
      </c>
      <c r="U17" s="7" t="n">
        <v>1</v>
      </c>
      <c r="V17" s="7" t="n">
        <v>1.8</v>
      </c>
      <c r="W17" s="7" t="n">
        <v>2.5</v>
      </c>
      <c r="X17" s="7" t="n">
        <v>300</v>
      </c>
      <c r="Y17" s="7" t="inlineStr">
        <is>
          <t>STRONG</t>
        </is>
      </c>
      <c r="Z17" s="7" t="inlineStr">
        <is>
          <t>MED-HIGH</t>
        </is>
      </c>
      <c r="AA17" s="7" t="inlineStr">
        <is>
          <t>MEDIUM SOUR + ASIA PREMIUM</t>
        </is>
      </c>
      <c r="AB17" s="7" t="n">
        <v>6</v>
      </c>
      <c r="AC17" s="7" t="inlineStr">
        <is>
          <t>Magnus infill drilling Q2
Seligi gas ramp Malaysia</t>
        </is>
      </c>
      <c r="AD17" s="7" t="inlineStr">
        <is>
          <t>Vietnam Block 12W growth</t>
        </is>
      </c>
      <c r="AE17" s="7" t="inlineStr">
        <is>
          <t>Serica merger potential</t>
        </is>
      </c>
      <c r="AF17" s="7" t="inlineStr">
        <is>
          <t>UK windfall tax 78%</t>
        </is>
      </c>
      <c r="AG17" s="7" t="inlineStr">
        <is>
          <t>BUY</t>
        </is>
      </c>
    </row>
    <row r="18">
      <c r="A18" s="8" t="n">
        <v>3</v>
      </c>
      <c r="B18" s="8" t="n">
        <v>14</v>
      </c>
      <c r="C18" s="8" t="inlineStr">
        <is>
          <t>PTAL</t>
        </is>
      </c>
      <c r="D18" s="9" t="inlineStr">
        <is>
          <t>AIM/TSX</t>
        </is>
      </c>
      <c r="E18" s="9" t="inlineStr">
        <is>
          <t>PetroTal</t>
        </is>
      </c>
      <c r="F18" s="9" t="inlineStr">
        <is>
          <t>Peru</t>
        </is>
      </c>
      <c r="G18" s="9" t="inlineStr">
        <is>
          <t>Loreto Crude Block 95</t>
        </is>
      </c>
      <c r="H18" s="9" t="inlineStr">
        <is>
          <t>~35-37°</t>
        </is>
      </c>
      <c r="I18" s="9" t="inlineStr">
        <is>
          <t>Low</t>
        </is>
      </c>
      <c r="J18" s="9" t="inlineStr">
        <is>
          <t>-$5 to -$15</t>
        </is>
      </c>
      <c r="K18" s="9" t="inlineStr">
        <is>
          <t>~18,000 bopd</t>
        </is>
      </c>
      <c r="L18" s="9" t="inlineStr">
        <is>
          <t>$346M</t>
        </is>
      </c>
      <c r="M18" s="9" t="inlineStr">
        <is>
          <t>$342M</t>
        </is>
      </c>
      <c r="N18" s="9" t="inlineStr">
        <is>
          <t>4.5x</t>
        </is>
      </c>
      <c r="O18" s="9" t="inlineStr">
        <is>
          <t>8.4%</t>
        </is>
      </c>
      <c r="P18" s="9" t="n">
        <v>38</v>
      </c>
      <c r="Q18" s="9" t="inlineStr">
        <is>
          <t>p</t>
        </is>
      </c>
      <c r="R18" s="9" t="n">
        <v>28</v>
      </c>
      <c r="S18" s="9" t="n">
        <v>55</v>
      </c>
      <c r="T18" s="9" t="n">
        <v>80</v>
      </c>
      <c r="U18" s="9" t="n">
        <v>1</v>
      </c>
      <c r="V18" s="9" t="n">
        <v>1.5</v>
      </c>
      <c r="W18" s="9" t="n">
        <v>2.5</v>
      </c>
      <c r="X18" s="9" t="n">
        <v>200</v>
      </c>
      <c r="Y18" s="9" t="inlineStr">
        <is>
          <t>STRONG</t>
        </is>
      </c>
      <c r="Z18" s="9" t="inlineStr">
        <is>
          <t>MED</t>
        </is>
      </c>
      <c r="AA18" s="9" t="inlineStr">
        <is>
          <t>Light Sweet Peruvian</t>
        </is>
      </c>
      <c r="AB18" s="9" t="n">
        <v>6</v>
      </c>
      <c r="AC18" s="9" t="inlineStr">
        <is>
          <t>Production &gt;20,000 bopd</t>
        </is>
      </c>
      <c r="AD18" s="9" t="inlineStr">
        <is>
          <t>Dividend payments</t>
        </is>
      </c>
      <c r="AE18" s="9" t="inlineStr">
        <is>
          <t>Infill drilling results</t>
        </is>
      </c>
      <c r="AF18" s="9" t="inlineStr">
        <is>
          <t>Peru social unrest/ONP</t>
        </is>
      </c>
      <c r="AG18" s="9" t="inlineStr">
        <is>
          <t>HOLD</t>
        </is>
      </c>
    </row>
    <row r="19">
      <c r="A19" s="8" t="n">
        <v>3</v>
      </c>
      <c r="B19" s="8" t="n">
        <v>15</v>
      </c>
      <c r="C19" s="8" t="inlineStr">
        <is>
          <t>AEX</t>
        </is>
      </c>
      <c r="D19" s="9" t="inlineStr">
        <is>
          <t>AIM</t>
        </is>
      </c>
      <c r="E19" s="9" t="inlineStr">
        <is>
          <t>Aminex</t>
        </is>
      </c>
      <c r="F19" s="9" t="inlineStr">
        <is>
          <t>Tanzania</t>
        </is>
      </c>
      <c r="G19" s="9" t="inlineStr">
        <is>
          <t>Ntorya Natural Gas</t>
        </is>
      </c>
      <c r="H19" s="9" t="inlineStr">
        <is>
          <t>Gas</t>
        </is>
      </c>
      <c r="I19" s="9" t="inlineStr">
        <is>
          <t>None</t>
        </is>
      </c>
      <c r="J19" s="9" t="inlineStr">
        <is>
          <t>Sub-LNG domestic</t>
        </is>
      </c>
      <c r="K19" s="9" t="inlineStr">
        <is>
          <t>Pre-production</t>
        </is>
      </c>
      <c r="L19" s="9" t="inlineStr">
        <is>
          <t>£105M</t>
        </is>
      </c>
      <c r="M19" s="9" t="inlineStr">
        <is>
          <t>Nil</t>
        </is>
      </c>
      <c r="N19" s="9" t="inlineStr">
        <is>
          <t>N/A</t>
        </is>
      </c>
      <c r="O19" s="9" t="inlineStr">
        <is>
          <t>N/A</t>
        </is>
      </c>
      <c r="P19" s="9" t="n">
        <v>2.3</v>
      </c>
      <c r="Q19" s="9" t="inlineStr">
        <is>
          <t>p</t>
        </is>
      </c>
      <c r="R19" s="9" t="n">
        <v>1.5</v>
      </c>
      <c r="S19" s="9" t="n">
        <v>4</v>
      </c>
      <c r="T19" s="9" t="n">
        <v>7</v>
      </c>
      <c r="U19" s="9" t="n">
        <v>0.7</v>
      </c>
      <c r="V19" s="9" t="n">
        <v>2</v>
      </c>
      <c r="W19" s="9" t="n">
        <v>4</v>
      </c>
      <c r="X19" s="9" t="n">
        <v>100</v>
      </c>
      <c r="Y19" s="9" t="inlineStr">
        <is>
          <t>MODERATE</t>
        </is>
      </c>
      <c r="Z19" s="9" t="inlineStr">
        <is>
          <t>MED</t>
        </is>
      </c>
      <c r="AA19" s="9" t="inlineStr">
        <is>
          <t>East African Gas</t>
        </is>
      </c>
      <c r="AB19" s="9" t="n">
        <v>3</v>
      </c>
      <c r="AC19" s="9" t="inlineStr">
        <is>
          <t>Pipeline construction</t>
        </is>
      </c>
      <c r="AD19" s="9" t="inlineStr">
        <is>
          <t>Pipeline completion Jul
First gas Sept target</t>
        </is>
      </c>
      <c r="AE19" s="9" t="inlineStr">
        <is>
          <t>Chikumbi-1 exploration</t>
        </is>
      </c>
      <c r="AF19" s="9" t="inlineStr">
        <is>
          <t>Tanzania govt delays</t>
        </is>
      </c>
      <c r="AG19" s="9" t="inlineStr">
        <is>
          <t>REDUCE</t>
        </is>
      </c>
    </row>
    <row r="20">
      <c r="A20" s="8" t="n">
        <v>3</v>
      </c>
      <c r="B20" s="8" t="n">
        <v>16</v>
      </c>
      <c r="C20" s="8" t="inlineStr">
        <is>
          <t>ECO</t>
        </is>
      </c>
      <c r="D20" s="9" t="inlineStr">
        <is>
          <t>AIM/TSX-V</t>
        </is>
      </c>
      <c r="E20" s="9" t="inlineStr">
        <is>
          <t>Eco (Atlantic)</t>
        </is>
      </c>
      <c r="F20" s="9" t="inlineStr">
        <is>
          <t>Namibia/Guyana/Falklands</t>
        </is>
      </c>
      <c r="G20" s="9" t="inlineStr">
        <is>
          <t>Pre-production explorer</t>
        </is>
      </c>
      <c r="H20" s="9" t="inlineStr">
        <is>
          <t>N/A</t>
        </is>
      </c>
      <c r="I20" s="9" t="inlineStr">
        <is>
          <t>N/A</t>
        </is>
      </c>
      <c r="J20" s="9" t="inlineStr">
        <is>
          <t>N/A</t>
        </is>
      </c>
      <c r="K20" s="9" t="inlineStr">
        <is>
          <t>Nil</t>
        </is>
      </c>
      <c r="L20" s="9" t="inlineStr">
        <is>
          <t>$37M</t>
        </is>
      </c>
      <c r="M20" s="9" t="inlineStr">
        <is>
          <t>$72K</t>
        </is>
      </c>
      <c r="N20" s="9" t="inlineStr">
        <is>
          <t>N/A</t>
        </is>
      </c>
      <c r="O20" s="9" t="inlineStr">
        <is>
          <t>N/A</t>
        </is>
      </c>
      <c r="P20" s="9" t="n">
        <v>12</v>
      </c>
      <c r="Q20" s="9" t="inlineStr">
        <is>
          <t>p</t>
        </is>
      </c>
      <c r="R20" s="9" t="n">
        <v>7</v>
      </c>
      <c r="S20" s="9" t="n">
        <v>25</v>
      </c>
      <c r="T20" s="9" t="n">
        <v>50</v>
      </c>
      <c r="U20" s="9" t="n">
        <v>0.6</v>
      </c>
      <c r="V20" s="9" t="n">
        <v>1.8</v>
      </c>
      <c r="W20" s="9" t="n">
        <v>5</v>
      </c>
      <c r="X20" s="9" t="n">
        <v>150</v>
      </c>
      <c r="Y20" s="9" t="inlineStr">
        <is>
          <t>STRONG</t>
        </is>
      </c>
      <c r="Z20" s="9" t="inlineStr">
        <is>
          <t>MED</t>
        </is>
      </c>
      <c r="AA20" s="9" t="inlineStr">
        <is>
          <t>Multi-basin Atlantic</t>
        </is>
      </c>
      <c r="AB20" s="9" t="n">
        <v>6</v>
      </c>
      <c r="AC20" s="9" t="inlineStr">
        <is>
          <t>JHI acquisition completes</t>
        </is>
      </c>
      <c r="AD20" s="9" t="inlineStr">
        <is>
          <t>Namibia farmout progress</t>
        </is>
      </c>
      <c r="AE20" s="9" t="inlineStr">
        <is>
          <t>Guyana/SA approvals</t>
        </is>
      </c>
      <c r="AF20" s="9" t="inlineStr">
        <is>
          <t>Pre-revenue explorer</t>
        </is>
      </c>
      <c r="AG20" s="9" t="inlineStr">
        <is>
          <t>HOLD</t>
        </is>
      </c>
    </row>
    <row r="21">
      <c r="A21" s="8" t="n">
        <v>3</v>
      </c>
      <c r="B21" s="8" t="n">
        <v>17</v>
      </c>
      <c r="C21" s="8" t="inlineStr">
        <is>
          <t>STAR</t>
        </is>
      </c>
      <c r="D21" s="9" t="inlineStr">
        <is>
          <t>AIM</t>
        </is>
      </c>
      <c r="E21" s="9" t="inlineStr">
        <is>
          <t>Star Energy</t>
        </is>
      </c>
      <c r="F21" s="9" t="inlineStr">
        <is>
          <t>UK Onshore</t>
        </is>
      </c>
      <c r="G21" s="9" t="inlineStr">
        <is>
          <t>UK Onshore Crude + Gas</t>
        </is>
      </c>
      <c r="H21" s="9" t="inlineStr">
        <is>
          <t>~35-40°</t>
        </is>
      </c>
      <c r="I21" s="9" t="inlineStr">
        <is>
          <t>Low Sweet</t>
        </is>
      </c>
      <c r="J21" s="9" t="inlineStr">
        <is>
          <t>Brent-linked</t>
        </is>
      </c>
      <c r="K21" s="9" t="inlineStr">
        <is>
          <t>1,886 boe/d</t>
        </is>
      </c>
      <c r="L21" s="9" t="inlineStr">
        <is>
          <t>£18M</t>
        </is>
      </c>
      <c r="M21" s="9" t="inlineStr">
        <is>
          <t>£44M</t>
        </is>
      </c>
      <c r="N21" s="9" t="inlineStr">
        <is>
          <t>Neg</t>
        </is>
      </c>
      <c r="O21" s="9" t="inlineStr">
        <is>
          <t>N/A</t>
        </is>
      </c>
      <c r="P21" s="9" t="n">
        <v>13.5</v>
      </c>
      <c r="Q21" s="9" t="inlineStr">
        <is>
          <t>p</t>
        </is>
      </c>
      <c r="R21" s="9" t="n">
        <v>9</v>
      </c>
      <c r="S21" s="9" t="n">
        <v>27</v>
      </c>
      <c r="T21" s="9" t="n">
        <v>40</v>
      </c>
      <c r="U21" s="9" t="n">
        <v>1</v>
      </c>
      <c r="V21" s="9" t="n">
        <v>2</v>
      </c>
      <c r="W21" s="9" t="n">
        <v>3</v>
      </c>
      <c r="X21" s="9" t="n">
        <v>150</v>
      </c>
      <c r="Y21" s="9" t="inlineStr">
        <is>
          <t>STRONG</t>
        </is>
      </c>
      <c r="Z21" s="9" t="inlineStr">
        <is>
          <t>MED</t>
        </is>
      </c>
      <c r="AA21" s="9" t="inlineStr">
        <is>
          <t>Light Sweet UK Onshore</t>
        </is>
      </c>
      <c r="AB21" s="9" t="n">
        <v>5</v>
      </c>
      <c r="AC21" s="9" t="inlineStr">
        <is>
          <t>Singleton gas-to-wire Q2</t>
        </is>
      </c>
      <c r="AD21" s="9" t="inlineStr">
        <is>
          <t>Stockbridge production restart</t>
        </is>
      </c>
      <c r="AE21" s="9" t="inlineStr">
        <is>
          <t>Geothermal progress</t>
        </is>
      </c>
      <c r="AF21" s="9" t="inlineStr">
        <is>
          <t>Production below guidance</t>
        </is>
      </c>
      <c r="AG21" s="9" t="inlineStr">
        <is>
          <t>HOLD</t>
        </is>
      </c>
    </row>
    <row r="22">
      <c r="A22" s="8" t="n">
        <v>3</v>
      </c>
      <c r="B22" s="8" t="n">
        <v>18</v>
      </c>
      <c r="C22" s="8" t="inlineStr">
        <is>
          <t>88E</t>
        </is>
      </c>
      <c r="D22" s="9" t="inlineStr">
        <is>
          <t>AIM/ASX</t>
        </is>
      </c>
      <c r="E22" s="9" t="inlineStr">
        <is>
          <t>88 Energy</t>
        </is>
      </c>
      <c r="F22" s="9" t="inlineStr">
        <is>
          <t>Alaska</t>
        </is>
      </c>
      <c r="G22" s="9" t="inlineStr">
        <is>
          <t>Alaska North Slope</t>
        </is>
      </c>
      <c r="H22" s="9" t="inlineStr">
        <is>
          <t>~32°</t>
        </is>
      </c>
      <c r="I22" s="9" t="inlineStr">
        <is>
          <t>Low</t>
        </is>
      </c>
      <c r="J22" s="9" t="inlineStr">
        <is>
          <t>ANS premium</t>
        </is>
      </c>
      <c r="K22" s="9" t="inlineStr">
        <is>
          <t>Nil - explorer</t>
        </is>
      </c>
      <c r="L22" s="9" t="inlineStr">
        <is>
          <t>£46M</t>
        </is>
      </c>
      <c r="M22" s="9" t="inlineStr">
        <is>
          <t>Nil</t>
        </is>
      </c>
      <c r="N22" s="9" t="inlineStr">
        <is>
          <t>N/A</t>
        </is>
      </c>
      <c r="O22" s="9" t="inlineStr">
        <is>
          <t>N/A</t>
        </is>
      </c>
      <c r="P22" s="9" t="n">
        <v>1.1</v>
      </c>
      <c r="Q22" s="9" t="inlineStr">
        <is>
          <t>p</t>
        </is>
      </c>
      <c r="R22" s="9" t="n">
        <v>0.5</v>
      </c>
      <c r="S22" s="9" t="n">
        <v>2.5</v>
      </c>
      <c r="T22" s="9" t="n">
        <v>5</v>
      </c>
      <c r="U22" s="9" t="n">
        <v>0.5</v>
      </c>
      <c r="V22" s="9" t="n">
        <v>1.5</v>
      </c>
      <c r="W22" s="9" t="n">
        <v>5</v>
      </c>
      <c r="X22" s="9" t="n">
        <v>100</v>
      </c>
      <c r="Y22" s="9" t="inlineStr">
        <is>
          <t>STRONG</t>
        </is>
      </c>
      <c r="Z22" s="9" t="inlineStr">
        <is>
          <t>MED</t>
        </is>
      </c>
      <c r="AA22" s="9" t="inlineStr">
        <is>
          <t>Light Sweet Alaska</t>
        </is>
      </c>
      <c r="AB22" s="9" t="n">
        <v>4</v>
      </c>
      <c r="AC22" s="9" t="inlineStr">
        <is>
          <t>Farm-out progress</t>
        </is>
      </c>
      <c r="AD22" s="9" t="inlineStr">
        <is>
          <t>Franklin Bluffs-1H drilling</t>
        </is>
      </c>
      <c r="AE22" s="9" t="inlineStr">
        <is>
          <t>Augusta-1 rig contract</t>
        </is>
      </c>
      <c r="AF22" s="9" t="inlineStr">
        <is>
          <t>Serial disappointment</t>
        </is>
      </c>
      <c r="AG22" s="9" t="inlineStr">
        <is>
          <t>SPECULATIVE</t>
        </is>
      </c>
    </row>
    <row r="23">
      <c r="A23" s="8" t="n">
        <v>3</v>
      </c>
      <c r="B23" s="8" t="n">
        <v>19</v>
      </c>
      <c r="C23" s="8" t="inlineStr">
        <is>
          <t>PANR</t>
        </is>
      </c>
      <c r="D23" s="9" t="inlineStr">
        <is>
          <t>AIM/OTCQX</t>
        </is>
      </c>
      <c r="E23" s="9" t="inlineStr">
        <is>
          <t>Pantheon Resources</t>
        </is>
      </c>
      <c r="F23" s="9" t="inlineStr">
        <is>
          <t>Alaska</t>
        </is>
      </c>
      <c r="G23" s="9" t="inlineStr">
        <is>
          <t>ANS Crude + Gas</t>
        </is>
      </c>
      <c r="H23" s="9" t="inlineStr">
        <is>
          <t>~32° + 6.6Tcf</t>
        </is>
      </c>
      <c r="I23" s="9" t="inlineStr">
        <is>
          <t>Low</t>
        </is>
      </c>
      <c r="J23" s="9" t="inlineStr">
        <is>
          <t>ANS premium</t>
        </is>
      </c>
      <c r="K23" s="9" t="inlineStr">
        <is>
          <t>Nil - appraisal</t>
        </is>
      </c>
      <c r="L23" s="9" t="inlineStr">
        <is>
          <t>£461M</t>
        </is>
      </c>
      <c r="M23" s="9" t="inlineStr">
        <is>
          <t>Nil</t>
        </is>
      </c>
      <c r="N23" s="9" t="inlineStr">
        <is>
          <t>N/A</t>
        </is>
      </c>
      <c r="O23" s="9" t="inlineStr">
        <is>
          <t>N/A</t>
        </is>
      </c>
      <c r="P23" s="9" t="n">
        <v>8</v>
      </c>
      <c r="Q23" s="9" t="inlineStr">
        <is>
          <t>p</t>
        </is>
      </c>
      <c r="R23" s="9" t="n">
        <v>4</v>
      </c>
      <c r="S23" s="9" t="n">
        <v>20</v>
      </c>
      <c r="T23" s="9" t="n">
        <v>40</v>
      </c>
      <c r="U23" s="9" t="n">
        <v>0.5</v>
      </c>
      <c r="V23" s="9" t="n">
        <v>1.8</v>
      </c>
      <c r="W23" s="9" t="n">
        <v>5</v>
      </c>
      <c r="X23" s="9" t="n">
        <v>100</v>
      </c>
      <c r="Y23" s="9" t="inlineStr">
        <is>
          <t>STRONG</t>
        </is>
      </c>
      <c r="Z23" s="9" t="inlineStr">
        <is>
          <t>MED</t>
        </is>
      </c>
      <c r="AA23" s="9" t="inlineStr">
        <is>
          <t>Light Sweet + Gas Alaska</t>
        </is>
      </c>
      <c r="AB23" s="9" t="n">
        <v>5</v>
      </c>
      <c r="AC23" s="9" t="inlineStr">
        <is>
          <t>Dubhe-1 data analysis</t>
        </is>
      </c>
      <c r="AD23" s="9" t="inlineStr">
        <is>
          <t>Dubhe-1 retest
Kodiak farmout</t>
        </is>
      </c>
      <c r="AE23" s="9" t="inlineStr">
        <is>
          <t>Alaska LNG progress</t>
        </is>
      </c>
      <c r="AF23" s="9" t="inlineStr">
        <is>
          <t>Flow rates disappointing</t>
        </is>
      </c>
      <c r="AG23" s="9" t="inlineStr">
        <is>
          <t>HOLD</t>
        </is>
      </c>
    </row>
    <row r="24">
      <c r="A24" s="8" t="n">
        <v>3</v>
      </c>
      <c r="B24" s="8" t="n">
        <v>20</v>
      </c>
      <c r="C24" s="8" t="inlineStr">
        <is>
          <t>CHAR</t>
        </is>
      </c>
      <c r="D24" s="9" t="inlineStr">
        <is>
          <t>AIM</t>
        </is>
      </c>
      <c r="E24" s="9" t="inlineStr">
        <is>
          <t>Chariot Ltd</t>
        </is>
      </c>
      <c r="F24" s="9" t="inlineStr">
        <is>
          <t>Morocco</t>
        </is>
      </c>
      <c r="G24" s="9" t="inlineStr">
        <is>
          <t>Anchois Nat Gas</t>
        </is>
      </c>
      <c r="H24" s="9" t="inlineStr">
        <is>
          <t>Gas</t>
        </is>
      </c>
      <c r="I24" s="9" t="inlineStr">
        <is>
          <t>None</t>
        </is>
      </c>
      <c r="J24" s="9" t="inlineStr">
        <is>
          <t>TTF-influenced</t>
        </is>
      </c>
      <c r="K24" s="9" t="inlineStr">
        <is>
          <t>Minimal</t>
        </is>
      </c>
      <c r="L24" s="9" t="inlineStr">
        <is>
          <t>~£20M</t>
        </is>
      </c>
      <c r="M24" s="9" t="inlineStr">
        <is>
          <t>$162K</t>
        </is>
      </c>
      <c r="N24" s="9" t="inlineStr">
        <is>
          <t>N/A</t>
        </is>
      </c>
      <c r="O24" s="9" t="inlineStr">
        <is>
          <t>N/A</t>
        </is>
      </c>
      <c r="P24" s="9" t="n">
        <v>6.8</v>
      </c>
      <c r="Q24" s="9" t="inlineStr">
        <is>
          <t>p</t>
        </is>
      </c>
      <c r="R24" s="9" t="n">
        <v>3.5</v>
      </c>
      <c r="S24" s="9" t="n">
        <v>15</v>
      </c>
      <c r="T24" s="9" t="n">
        <v>33</v>
      </c>
      <c r="U24" s="9" t="n">
        <v>0.5</v>
      </c>
      <c r="V24" s="9" t="n">
        <v>2</v>
      </c>
      <c r="W24" s="9" t="n">
        <v>5</v>
      </c>
      <c r="X24" s="9" t="n">
        <v>100</v>
      </c>
      <c r="Y24" s="9" t="inlineStr">
        <is>
          <t>STRONG</t>
        </is>
      </c>
      <c r="Z24" s="9" t="inlineStr">
        <is>
          <t>MED</t>
        </is>
      </c>
      <c r="AA24" s="9" t="inlineStr">
        <is>
          <t>Moroccan Gas - EU Alternative</t>
        </is>
      </c>
      <c r="AB24" s="9" t="n">
        <v>4</v>
      </c>
      <c r="AC24" s="9" t="inlineStr">
        <is>
          <t>Loukos onshore drilling</t>
        </is>
      </c>
      <c r="AD24" s="9" t="inlineStr">
        <is>
          <t>Anchois rescaled FDP</t>
        </is>
      </c>
      <c r="AE24" s="9" t="inlineStr">
        <is>
          <t>New partner search</t>
        </is>
      </c>
      <c r="AF24" s="9" t="inlineStr">
        <is>
          <t>Cash constraints</t>
        </is>
      </c>
      <c r="AG24" s="9" t="inlineStr">
        <is>
          <t>SPECULATIVE</t>
        </is>
      </c>
    </row>
    <row r="25">
      <c r="A25" s="8" t="n">
        <v>3</v>
      </c>
      <c r="B25" s="8" t="n">
        <v>21</v>
      </c>
      <c r="C25" s="8" t="inlineStr">
        <is>
          <t>SQZ</t>
        </is>
      </c>
      <c r="D25" s="9" t="inlineStr">
        <is>
          <t>AIM</t>
        </is>
      </c>
      <c r="E25" s="9" t="inlineStr">
        <is>
          <t>Serica Energy</t>
        </is>
      </c>
      <c r="F25" s="9" t="inlineStr">
        <is>
          <t>UK North Sea</t>
        </is>
      </c>
      <c r="G25" s="9" t="inlineStr">
        <is>
          <t>North Sea Gas + Oil</t>
        </is>
      </c>
      <c r="H25" s="9" t="inlineStr">
        <is>
          <t>~38°</t>
        </is>
      </c>
      <c r="I25" s="9" t="inlineStr">
        <is>
          <t>Low-Med</t>
        </is>
      </c>
      <c r="J25" s="9" t="inlineStr">
        <is>
          <t>Brent/NBP-linked</t>
        </is>
      </c>
      <c r="K25" s="9" t="inlineStr">
        <is>
          <t>~25,000 boepd</t>
        </is>
      </c>
      <c r="L25" s="9" t="inlineStr">
        <is>
          <t>£600M</t>
        </is>
      </c>
      <c r="M25" s="9" t="inlineStr">
        <is>
          <t>~£400M</t>
        </is>
      </c>
      <c r="N25" s="9" t="inlineStr">
        <is>
          <t>~8x</t>
        </is>
      </c>
      <c r="O25" s="9" t="inlineStr">
        <is>
          <t>13%</t>
        </is>
      </c>
      <c r="P25" s="9" t="n">
        <v>130</v>
      </c>
      <c r="Q25" s="9" t="inlineStr">
        <is>
          <t>p</t>
        </is>
      </c>
      <c r="R25" s="9" t="n">
        <v>100</v>
      </c>
      <c r="S25" s="9" t="n">
        <v>180</v>
      </c>
      <c r="T25" s="9" t="n">
        <v>220</v>
      </c>
      <c r="U25" s="9" t="n">
        <v>1</v>
      </c>
      <c r="V25" s="9" t="n">
        <v>1.5</v>
      </c>
      <c r="W25" s="9" t="n">
        <v>2</v>
      </c>
      <c r="X25" s="9" t="n">
        <v>150</v>
      </c>
      <c r="Y25" s="9" t="inlineStr">
        <is>
          <t>STRONG</t>
        </is>
      </c>
      <c r="Z25" s="9" t="inlineStr">
        <is>
          <t>MED</t>
        </is>
      </c>
      <c r="AA25" s="9" t="inlineStr">
        <is>
          <t>UK GAS - 5% of UK supply</t>
        </is>
      </c>
      <c r="AB25" s="9" t="n">
        <v>5</v>
      </c>
      <c r="AC25" s="9" t="inlineStr">
        <is>
          <t>EnQuest merger talks</t>
        </is>
      </c>
      <c r="AD25" s="9" t="inlineStr">
        <is>
          <t>Production optimisation</t>
        </is>
      </c>
      <c r="AE25" s="9" t="inlineStr">
        <is>
          <t>Merger completion?</t>
        </is>
      </c>
      <c r="AF25" s="9" t="inlineStr">
        <is>
          <t>UK windfall tax</t>
        </is>
      </c>
      <c r="AG25" s="9" t="inlineStr">
        <is>
          <t>BUY</t>
        </is>
      </c>
    </row>
    <row r="26">
      <c r="A26" s="8" t="n">
        <v>3</v>
      </c>
      <c r="B26" s="8" t="n">
        <v>22</v>
      </c>
      <c r="C26" s="8" t="inlineStr">
        <is>
          <t>ITH</t>
        </is>
      </c>
      <c r="D26" s="9" t="inlineStr">
        <is>
          <t>LSE</t>
        </is>
      </c>
      <c r="E26" s="9" t="inlineStr">
        <is>
          <t>Ithaca Energy</t>
        </is>
      </c>
      <c r="F26" s="9" t="inlineStr">
        <is>
          <t>UK North Sea</t>
        </is>
      </c>
      <c r="G26" s="9" t="inlineStr">
        <is>
          <t>North Sea Brent Basket</t>
        </is>
      </c>
      <c r="H26" s="9" t="inlineStr">
        <is>
          <t>~35-38°</t>
        </is>
      </c>
      <c r="I26" s="9" t="inlineStr">
        <is>
          <t>Low-Med</t>
        </is>
      </c>
      <c r="J26" s="9" t="inlineStr">
        <is>
          <t>Brent-linked</t>
        </is>
      </c>
      <c r="K26" s="9" t="inlineStr">
        <is>
          <t>~70,000+ boepd</t>
        </is>
      </c>
      <c r="L26" s="9" t="inlineStr">
        <is>
          <t>£2.3B</t>
        </is>
      </c>
      <c r="M26" s="9" t="inlineStr">
        <is>
          <t>~£2B</t>
        </is>
      </c>
      <c r="N26" s="9" t="inlineStr">
        <is>
          <t>~6x</t>
        </is>
      </c>
      <c r="O26" s="9" t="inlineStr">
        <is>
          <t>12%</t>
        </is>
      </c>
      <c r="P26" s="9" t="n">
        <v>130</v>
      </c>
      <c r="Q26" s="9" t="inlineStr">
        <is>
          <t>p</t>
        </is>
      </c>
      <c r="R26" s="9" t="n">
        <v>100</v>
      </c>
      <c r="S26" s="9" t="n">
        <v>165</v>
      </c>
      <c r="T26" s="9" t="n">
        <v>200</v>
      </c>
      <c r="U26" s="9" t="n">
        <v>1</v>
      </c>
      <c r="V26" s="9" t="n">
        <v>1.3</v>
      </c>
      <c r="W26" s="9" t="n">
        <v>1.7</v>
      </c>
      <c r="X26" s="9" t="n">
        <v>100</v>
      </c>
      <c r="Y26" s="9" t="inlineStr">
        <is>
          <t>STRONG</t>
        </is>
      </c>
      <c r="Z26" s="9" t="inlineStr">
        <is>
          <t>LOW-MED</t>
        </is>
      </c>
      <c r="AA26" s="9" t="inlineStr">
        <is>
          <t>Brent Basket - Hedged</t>
        </is>
      </c>
      <c r="AB26" s="9" t="n">
        <v>5</v>
      </c>
      <c r="AC26" s="9" t="inlineStr">
        <is>
          <t>Cambo field progress</t>
        </is>
      </c>
      <c r="AD26" s="9" t="inlineStr">
        <is>
          <t>Production maintenance</t>
        </is>
      </c>
      <c r="AE26" s="9" t="inlineStr">
        <is>
          <t>Dividend distributions</t>
        </is>
      </c>
      <c r="AF26" s="9" t="inlineStr">
        <is>
          <t>Hedging limits upside</t>
        </is>
      </c>
      <c r="AG26" s="9" t="inlineStr">
        <is>
          <t>HOLD - Income</t>
        </is>
      </c>
    </row>
    <row r="27">
      <c r="A27" s="10" t="n">
        <v>4</v>
      </c>
      <c r="B27" s="10" t="n">
        <v>23</v>
      </c>
      <c r="C27" s="10" t="inlineStr">
        <is>
          <t>HBR</t>
        </is>
      </c>
      <c r="D27" s="11" t="inlineStr">
        <is>
          <t>LSE</t>
        </is>
      </c>
      <c r="E27" s="11" t="inlineStr">
        <is>
          <t>Harbour Energy</t>
        </is>
      </c>
      <c r="F27" s="11" t="inlineStr">
        <is>
          <t>Global (Norway/UK/Arg)</t>
        </is>
      </c>
      <c r="G27" s="11" t="inlineStr">
        <is>
          <t>Johan Sverdrup + Multi</t>
        </is>
      </c>
      <c r="H27" s="11" t="inlineStr">
        <is>
          <t>Mixed</t>
        </is>
      </c>
      <c r="I27" s="11" t="inlineStr">
        <is>
          <t>Med Sour</t>
        </is>
      </c>
      <c r="J27" s="11" t="inlineStr">
        <is>
          <t>+$11.30 RECORD PREMIUM</t>
        </is>
      </c>
      <c r="K27" s="11" t="inlineStr">
        <is>
          <t>474,000 boepd</t>
        </is>
      </c>
      <c r="L27" s="11" t="inlineStr">
        <is>
          <t>£5B+</t>
        </is>
      </c>
      <c r="M27" s="11" t="inlineStr">
        <is>
          <t>$10.3B</t>
        </is>
      </c>
      <c r="N27" s="11" t="inlineStr">
        <is>
          <t>~5x</t>
        </is>
      </c>
      <c r="O27" s="11" t="inlineStr">
        <is>
          <t>7.7%</t>
        </is>
      </c>
      <c r="P27" s="11" t="n">
        <v>300</v>
      </c>
      <c r="Q27" s="11" t="inlineStr">
        <is>
          <t>p</t>
        </is>
      </c>
      <c r="R27" s="11" t="n">
        <v>240</v>
      </c>
      <c r="S27" s="11" t="n">
        <v>400</v>
      </c>
      <c r="T27" s="11" t="n">
        <v>500</v>
      </c>
      <c r="U27" s="11" t="n">
        <v>1</v>
      </c>
      <c r="V27" s="11" t="n">
        <v>1.4</v>
      </c>
      <c r="W27" s="11" t="n">
        <v>1.8</v>
      </c>
      <c r="X27" s="11" t="n">
        <v>300</v>
      </c>
      <c r="Y27" s="11" t="inlineStr">
        <is>
          <t>STRONG</t>
        </is>
      </c>
      <c r="Z27" s="11" t="inlineStr">
        <is>
          <t>MED</t>
        </is>
      </c>
      <c r="AA27" s="11" t="inlineStr">
        <is>
          <t>MEDIUM SOUR - HIGHEST $/BBL</t>
        </is>
      </c>
      <c r="AB27" s="11" t="n">
        <v>7</v>
      </c>
      <c r="AC27" s="11" t="inlineStr">
        <is>
          <t>LLOG acquisition advances
Johan Sverdrup premium</t>
        </is>
      </c>
      <c r="AD27" s="11" t="inlineStr">
        <is>
          <t>Norway/UK gas benefits</t>
        </is>
      </c>
      <c r="AE27" s="11" t="inlineStr">
        <is>
          <t>LLOG integration</t>
        </is>
      </c>
      <c r="AF27" s="11" t="inlineStr">
        <is>
          <t>Debt from acquisitions</t>
        </is>
      </c>
      <c r="AG27" s="11" t="inlineStr">
        <is>
          <t>BUY - INCREASE</t>
        </is>
      </c>
    </row>
    <row r="28">
      <c r="A28" s="10" t="n">
        <v>4</v>
      </c>
      <c r="B28" s="10" t="n">
        <v>24</v>
      </c>
      <c r="C28" s="10" t="inlineStr">
        <is>
          <t>EQNR</t>
        </is>
      </c>
      <c r="D28" s="11" t="inlineStr">
        <is>
          <t>NYSE/Oslo</t>
        </is>
      </c>
      <c r="E28" s="11" t="inlineStr">
        <is>
          <t>Equinor</t>
        </is>
      </c>
      <c r="F28" s="11" t="inlineStr">
        <is>
          <t>Norway Global</t>
        </is>
      </c>
      <c r="G28" s="11" t="inlineStr">
        <is>
          <t>Johan Sverdrup (Op)</t>
        </is>
      </c>
      <c r="H28" s="11" t="inlineStr">
        <is>
          <t>~28° Med Sour</t>
        </is>
      </c>
      <c r="I28" s="11" t="inlineStr">
        <is>
          <t>Medium</t>
        </is>
      </c>
      <c r="J28" s="11" t="inlineStr">
        <is>
          <t>+$11.30 RECORD PREMIUM</t>
        </is>
      </c>
      <c r="K28" s="11" t="inlineStr">
        <is>
          <t>~2M boepd</t>
        </is>
      </c>
      <c r="L28" s="11" t="inlineStr">
        <is>
          <t>~$65B</t>
        </is>
      </c>
      <c r="M28" s="11" t="inlineStr">
        <is>
          <t>~$100B</t>
        </is>
      </c>
      <c r="N28" s="11" t="inlineStr">
        <is>
          <t>~8x</t>
        </is>
      </c>
      <c r="O28" s="11" t="inlineStr">
        <is>
          <t>~5%</t>
        </is>
      </c>
      <c r="P28" s="11" t="n">
        <v>25</v>
      </c>
      <c r="Q28" s="11" t="inlineStr">
        <is>
          <t>$</t>
        </is>
      </c>
      <c r="R28" s="11" t="n">
        <v>20</v>
      </c>
      <c r="S28" s="11" t="n">
        <v>32</v>
      </c>
      <c r="T28" s="11" t="n">
        <v>38</v>
      </c>
      <c r="U28" s="11" t="n">
        <v>1</v>
      </c>
      <c r="V28" s="11" t="n">
        <v>1.3</v>
      </c>
      <c r="W28" s="11" t="n">
        <v>1.6</v>
      </c>
      <c r="X28" s="11" t="n">
        <v>200</v>
      </c>
      <c r="Y28" s="11" t="inlineStr">
        <is>
          <t>VERY STRONG</t>
        </is>
      </c>
      <c r="Z28" s="11" t="inlineStr">
        <is>
          <t>LOW-MED</t>
        </is>
      </c>
      <c r="AA28" s="11" t="inlineStr">
        <is>
          <t>MEDIUM SOUR OPERATOR</t>
        </is>
      </c>
      <c r="AB28" s="11" t="n">
        <v>6</v>
      </c>
      <c r="AC28" s="11" t="inlineStr">
        <is>
          <t>Sverdrup premium revenues
EU gas sales at peak</t>
        </is>
      </c>
      <c r="AD28" s="11" t="inlineStr">
        <is>
          <t>Phase 3 Sverdrup progress</t>
        </is>
      </c>
      <c r="AE28" s="11" t="inlineStr">
        <is>
          <t>Barents Sea developments</t>
        </is>
      </c>
      <c r="AF28" s="11" t="inlineStr">
        <is>
          <t>Norwegian tax/political</t>
        </is>
      </c>
      <c r="AG28" s="11" t="inlineStr">
        <is>
          <t>BUY</t>
        </is>
      </c>
    </row>
    <row r="29">
      <c r="A29" s="10" t="n">
        <v>4</v>
      </c>
      <c r="B29" s="10" t="n">
        <v>25</v>
      </c>
      <c r="C29" s="10" t="inlineStr">
        <is>
          <t>PBR</t>
        </is>
      </c>
      <c r="D29" s="11" t="inlineStr">
        <is>
          <t>NYSE</t>
        </is>
      </c>
      <c r="E29" s="11" t="inlineStr">
        <is>
          <t>Petrobras ADR</t>
        </is>
      </c>
      <c r="F29" s="11" t="inlineStr">
        <is>
          <t>Brazil Deepwater</t>
        </is>
      </c>
      <c r="G29" s="11" t="inlineStr">
        <is>
          <t>Lula/Buzios Pre-Salt</t>
        </is>
      </c>
      <c r="H29" s="11" t="inlineStr">
        <is>
          <t>~28-29°</t>
        </is>
      </c>
      <c r="I29" s="11" t="inlineStr">
        <is>
          <t>Very Low</t>
        </is>
      </c>
      <c r="J29" s="11" t="inlineStr">
        <is>
          <t>-$2 to flat</t>
        </is>
      </c>
      <c r="K29" s="11" t="inlineStr">
        <is>
          <t>~2.8M boepd</t>
        </is>
      </c>
      <c r="L29" s="11" t="inlineStr">
        <is>
          <t>~$90B</t>
        </is>
      </c>
      <c r="M29" s="11" t="inlineStr">
        <is>
          <t>~$90B</t>
        </is>
      </c>
      <c r="N29" s="11" t="inlineStr">
        <is>
          <t>~4x</t>
        </is>
      </c>
      <c r="O29" s="11" t="inlineStr">
        <is>
          <t>10%+</t>
        </is>
      </c>
      <c r="P29" s="11" t="n">
        <v>14.5</v>
      </c>
      <c r="Q29" s="11" t="inlineStr">
        <is>
          <t>$</t>
        </is>
      </c>
      <c r="R29" s="11" t="n">
        <v>11</v>
      </c>
      <c r="S29" s="11" t="n">
        <v>18</v>
      </c>
      <c r="T29" s="11" t="n">
        <v>22</v>
      </c>
      <c r="U29" s="11" t="n">
        <v>1</v>
      </c>
      <c r="V29" s="11" t="n">
        <v>1.3</v>
      </c>
      <c r="W29" s="11" t="n">
        <v>1.6</v>
      </c>
      <c r="X29" s="11" t="n">
        <v>150</v>
      </c>
      <c r="Y29" s="11" t="inlineStr">
        <is>
          <t>STRONG</t>
        </is>
      </c>
      <c r="Z29" s="11" t="inlineStr">
        <is>
          <t>LOW-MED</t>
        </is>
      </c>
      <c r="AA29" s="11" t="inlineStr">
        <is>
          <t>Med-Light Sweet Atlantic</t>
        </is>
      </c>
      <c r="AB29" s="11" t="n">
        <v>6</v>
      </c>
      <c r="AC29" s="11" t="inlineStr">
        <is>
          <t>Dividend declaration
Buzios Phase 7 FPSO</t>
        </is>
      </c>
      <c r="AD29" s="11" t="inlineStr">
        <is>
          <t>FY results + guidance</t>
        </is>
      </c>
      <c r="AE29" s="11" t="inlineStr">
        <is>
          <t>Brazil election Oct</t>
        </is>
      </c>
      <c r="AF29" s="11" t="inlineStr">
        <is>
          <t>Political interference</t>
        </is>
      </c>
      <c r="AG29" s="11" t="inlineStr">
        <is>
          <t>HOLD - Income</t>
        </is>
      </c>
    </row>
    <row r="30">
      <c r="A30" s="10" t="n">
        <v>4</v>
      </c>
      <c r="B30" s="10" t="n">
        <v>26</v>
      </c>
      <c r="C30" s="10" t="inlineStr">
        <is>
          <t>ENIM</t>
        </is>
      </c>
      <c r="D30" s="11" t="inlineStr">
        <is>
          <t>BIT/LSE</t>
        </is>
      </c>
      <c r="E30" s="11" t="inlineStr">
        <is>
          <t>Eni</t>
        </is>
      </c>
      <c r="F30" s="11" t="inlineStr">
        <is>
          <t>Italy/Global</t>
        </is>
      </c>
      <c r="G30" s="11" t="inlineStr">
        <is>
          <t>Diversified Multi-grade</t>
        </is>
      </c>
      <c r="H30" s="11" t="inlineStr">
        <is>
          <t>Mixed</t>
        </is>
      </c>
      <c r="I30" s="11" t="inlineStr">
        <is>
          <t>Mixed</t>
        </is>
      </c>
      <c r="J30" s="11" t="inlineStr">
        <is>
          <t>Various</t>
        </is>
      </c>
      <c r="K30" s="11" t="inlineStr">
        <is>
          <t>~1.7M boepd</t>
        </is>
      </c>
      <c r="L30" s="11" t="inlineStr">
        <is>
          <t>~$50B</t>
        </is>
      </c>
      <c r="M30" s="11" t="inlineStr">
        <is>
          <t>~$90B</t>
        </is>
      </c>
      <c r="N30" s="11" t="inlineStr">
        <is>
          <t>~7x</t>
        </is>
      </c>
      <c r="O30" s="11" t="inlineStr">
        <is>
          <t>~7%</t>
        </is>
      </c>
      <c r="P30" s="11" t="n">
        <v>13.5</v>
      </c>
      <c r="Q30" s="11" t="inlineStr">
        <is>
          <t>€</t>
        </is>
      </c>
      <c r="R30" s="11" t="n">
        <v>11</v>
      </c>
      <c r="S30" s="11" t="n">
        <v>16</v>
      </c>
      <c r="T30" s="11" t="n">
        <v>18</v>
      </c>
      <c r="U30" s="11" t="n">
        <v>1</v>
      </c>
      <c r="V30" s="11" t="n">
        <v>1.2</v>
      </c>
      <c r="W30" s="11" t="n">
        <v>1.5</v>
      </c>
      <c r="X30" s="11" t="n">
        <v>50</v>
      </c>
      <c r="Y30" s="11" t="inlineStr">
        <is>
          <t>MOD-STRONG</t>
        </is>
      </c>
      <c r="Z30" s="11" t="inlineStr">
        <is>
          <t>LOW</t>
        </is>
      </c>
      <c r="AA30" s="11" t="inlineStr">
        <is>
          <t>Diversified Major</t>
        </is>
      </c>
      <c r="AB30" s="11" t="n">
        <v>5</v>
      </c>
      <c r="AC30" s="11" t="inlineStr">
        <is>
          <t>EU gas repricing</t>
        </is>
      </c>
      <c r="AD30" s="11" t="inlineStr">
        <is>
          <t>Africa upstream</t>
        </is>
      </c>
      <c r="AE30" s="11" t="inlineStr">
        <is>
          <t>Renewables/biofuel</t>
        </is>
      </c>
      <c r="AF30" s="11" t="inlineStr">
        <is>
          <t>Size limits upside</t>
        </is>
      </c>
      <c r="AG30" s="11" t="inlineStr">
        <is>
          <t>HOLD</t>
        </is>
      </c>
    </row>
    <row r="31">
      <c r="A31" s="10" t="n">
        <v>4</v>
      </c>
      <c r="B31" s="10" t="n">
        <v>27</v>
      </c>
      <c r="C31" s="10" t="inlineStr">
        <is>
          <t>APC</t>
        </is>
      </c>
      <c r="D31" s="11" t="inlineStr">
        <is>
          <t>NASDAQ</t>
        </is>
      </c>
      <c r="E31" s="11" t="inlineStr">
        <is>
          <t>ARKO Petroleum</t>
        </is>
      </c>
      <c r="F31" s="11" t="inlineStr">
        <is>
          <t>US Fuel Distribution</t>
        </is>
      </c>
      <c r="G31" s="11" t="inlineStr">
        <is>
          <t>N/A - Fuel Distributor</t>
        </is>
      </c>
      <c r="H31" s="11" t="inlineStr">
        <is>
          <t>N/A</t>
        </is>
      </c>
      <c r="I31" s="11" t="inlineStr">
        <is>
          <t>N/A</t>
        </is>
      </c>
      <c r="J31" s="11" t="inlineStr">
        <is>
          <t>N/A</t>
        </is>
      </c>
      <c r="K31" s="11" t="inlineStr">
        <is>
          <t>N/A - distribution</t>
        </is>
      </c>
      <c r="L31" s="11" t="inlineStr">
        <is>
          <t>$886M</t>
        </is>
      </c>
      <c r="M31" s="11" t="inlineStr">
        <is>
          <t>$6.37B</t>
        </is>
      </c>
      <c r="N31" s="11" t="inlineStr">
        <is>
          <t>~20x</t>
        </is>
      </c>
      <c r="O31" s="11" t="inlineStr">
        <is>
          <t>N/A</t>
        </is>
      </c>
      <c r="P31" s="11" t="n">
        <v>18.74</v>
      </c>
      <c r="Q31" s="11" t="inlineStr">
        <is>
          <t>$</t>
        </is>
      </c>
      <c r="R31" s="11" t="n">
        <v>16</v>
      </c>
      <c r="S31" s="11" t="n">
        <v>21.6</v>
      </c>
      <c r="T31" s="11" t="n">
        <v>23</v>
      </c>
      <c r="U31" s="11" t="n">
        <v>0.9</v>
      </c>
      <c r="V31" s="11" t="n">
        <v>1.1</v>
      </c>
      <c r="W31" s="11" t="n">
        <v>1.3</v>
      </c>
      <c r="X31" s="11" t="n">
        <v>50</v>
      </c>
      <c r="Y31" s="11" t="inlineStr">
        <is>
          <t>MINIMAL</t>
        </is>
      </c>
      <c r="Z31" s="11" t="inlineStr">
        <is>
          <t>LOW</t>
        </is>
      </c>
      <c r="AA31" s="11" t="inlineStr">
        <is>
          <t>Fee-Based Distribution</t>
        </is>
      </c>
      <c r="AB31" s="11" t="n">
        <v>4</v>
      </c>
      <c r="AC31" s="11" t="inlineStr">
        <is>
          <t>First quarterly post-IPO</t>
        </is>
      </c>
      <c r="AD31" s="11" t="inlineStr">
        <is>
          <t>Transformation plan</t>
        </is>
      </c>
      <c r="AE31" s="11" t="inlineStr">
        <is>
          <t>Store conversions</t>
        </is>
      </c>
      <c r="AF31" s="11" t="inlineStr">
        <is>
          <t>Consumer spending</t>
        </is>
      </c>
      <c r="AG31" s="11" t="inlineStr">
        <is>
          <t>HOLD</t>
        </is>
      </c>
    </row>
  </sheetData>
  <autoFilter ref="A4:AG31"/>
  <mergeCells count="2">
    <mergeCell ref="A2:AG2"/>
    <mergeCell ref="A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  <col width="16" customWidth="1" min="4" max="4"/>
    <col width="10" customWidth="1" min="5" max="5"/>
    <col width="4" customWidth="1" min="6" max="6"/>
    <col width="9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9" customWidth="1" min="14" max="14"/>
  </cols>
  <sheetData>
    <row r="1">
      <c r="A1" s="1" t="inlineStr">
        <is>
          <t>DNA ENTERTAINMENT — £10,000 ALLOCATION MODEL WITH 3 SCENARIOS</t>
        </is>
      </c>
    </row>
    <row r="3">
      <c r="A3" s="3" t="inlineStr">
        <is>
          <t>Tier</t>
        </is>
      </c>
      <c r="B3" s="3" t="inlineStr">
        <is>
          <t>Rank</t>
        </is>
      </c>
      <c r="C3" s="3" t="inlineStr">
        <is>
          <t>Ticker</t>
        </is>
      </c>
      <c r="D3" s="3" t="inlineStr">
        <is>
          <t>Company</t>
        </is>
      </c>
      <c r="E3" s="3" t="inlineStr">
        <is>
          <t>Entry Price</t>
        </is>
      </c>
      <c r="F3" s="3" t="inlineStr">
        <is>
          <t>Ccy</t>
        </is>
      </c>
      <c r="G3" s="3" t="inlineStr">
        <is>
          <t>£ Allocated</t>
        </is>
      </c>
      <c r="H3" s="3" t="inlineStr">
        <is>
          <t>Stop Loss</t>
        </is>
      </c>
      <c r="I3" s="3" t="inlineStr">
        <is>
          <t>BEAR Return £</t>
        </is>
      </c>
      <c r="J3" s="3" t="inlineStr">
        <is>
          <t>BEAR P&amp;L £</t>
        </is>
      </c>
      <c r="K3" s="3" t="inlineStr">
        <is>
          <t>BASE Return £</t>
        </is>
      </c>
      <c r="L3" s="3" t="inlineStr">
        <is>
          <t>BASE P&amp;L £</t>
        </is>
      </c>
      <c r="M3" s="3" t="inlineStr">
        <is>
          <t>BULL Return £</t>
        </is>
      </c>
      <c r="N3" s="3" t="inlineStr">
        <is>
          <t>BULL P&amp;L £</t>
        </is>
      </c>
    </row>
    <row r="4">
      <c r="A4" s="5" t="n">
        <v>1</v>
      </c>
      <c r="B4" s="5" t="n">
        <v>1</v>
      </c>
      <c r="C4" s="4" t="inlineStr">
        <is>
          <t>AET</t>
        </is>
      </c>
      <c r="D4" s="5" t="inlineStr">
        <is>
          <t>Afentra</t>
        </is>
      </c>
      <c r="E4" s="5" t="n">
        <v>72</v>
      </c>
      <c r="F4" s="5" t="inlineStr">
        <is>
          <t>p</t>
        </is>
      </c>
      <c r="G4" s="12" t="n">
        <v>1400</v>
      </c>
      <c r="H4" s="5" t="n">
        <v>58</v>
      </c>
      <c r="I4" s="12" t="n">
        <v>1820</v>
      </c>
      <c r="J4" s="13" t="n">
        <v>420</v>
      </c>
      <c r="K4" s="12" t="n">
        <v>2800</v>
      </c>
      <c r="L4" s="13" t="n">
        <v>1400</v>
      </c>
      <c r="M4" s="12" t="n">
        <v>4200</v>
      </c>
      <c r="N4" s="13" t="n">
        <v>2800</v>
      </c>
    </row>
    <row r="5">
      <c r="A5" s="5" t="n">
        <v>1</v>
      </c>
      <c r="B5" s="5" t="n">
        <v>2</v>
      </c>
      <c r="C5" s="4" t="inlineStr">
        <is>
          <t>IMPP</t>
        </is>
      </c>
      <c r="D5" s="5" t="inlineStr">
        <is>
          <t>Imperial Petroleum</t>
        </is>
      </c>
      <c r="E5" s="5" t="n">
        <v>4.1</v>
      </c>
      <c r="F5" s="5" t="inlineStr">
        <is>
          <t>$</t>
        </is>
      </c>
      <c r="G5" s="12" t="n">
        <v>1200</v>
      </c>
      <c r="H5" s="5" t="n">
        <v>2.8</v>
      </c>
      <c r="I5" s="12" t="n">
        <v>1800</v>
      </c>
      <c r="J5" s="13" t="n">
        <v>600</v>
      </c>
      <c r="K5" s="12" t="n">
        <v>3000</v>
      </c>
      <c r="L5" s="13" t="n">
        <v>1800</v>
      </c>
      <c r="M5" s="12" t="n">
        <v>4800</v>
      </c>
      <c r="N5" s="13" t="n">
        <v>3600</v>
      </c>
    </row>
    <row r="6">
      <c r="A6" s="7" t="n">
        <v>2</v>
      </c>
      <c r="B6" s="7" t="n">
        <v>3</v>
      </c>
      <c r="C6" s="6" t="inlineStr">
        <is>
          <t>KOS</t>
        </is>
      </c>
      <c r="D6" s="7" t="inlineStr">
        <is>
          <t>Kosmos Energy</t>
        </is>
      </c>
      <c r="E6" s="7" t="n">
        <v>2.4</v>
      </c>
      <c r="F6" s="7" t="inlineStr">
        <is>
          <t>$</t>
        </is>
      </c>
      <c r="G6" s="14" t="n">
        <v>700</v>
      </c>
      <c r="H6" s="7" t="n">
        <v>1.6</v>
      </c>
      <c r="I6" s="14" t="n">
        <v>910</v>
      </c>
      <c r="J6" s="15" t="n">
        <v>210</v>
      </c>
      <c r="K6" s="14" t="n">
        <v>1750</v>
      </c>
      <c r="L6" s="15" t="n">
        <v>1050</v>
      </c>
      <c r="M6" s="14" t="n">
        <v>2450</v>
      </c>
      <c r="N6" s="15" t="n">
        <v>1750</v>
      </c>
    </row>
    <row r="7">
      <c r="A7" s="7" t="n">
        <v>2</v>
      </c>
      <c r="B7" s="7" t="n">
        <v>4</v>
      </c>
      <c r="C7" s="6" t="inlineStr">
        <is>
          <t>EGY</t>
        </is>
      </c>
      <c r="D7" s="7" t="inlineStr">
        <is>
          <t>VAALCO Energy</t>
        </is>
      </c>
      <c r="E7" s="7" t="n">
        <v>6.25</v>
      </c>
      <c r="F7" s="7" t="inlineStr">
        <is>
          <t>$</t>
        </is>
      </c>
      <c r="G7" s="14" t="n">
        <v>600</v>
      </c>
      <c r="H7" s="7" t="n">
        <v>4.5</v>
      </c>
      <c r="I7" s="14" t="n">
        <v>780</v>
      </c>
      <c r="J7" s="15" t="n">
        <v>180</v>
      </c>
      <c r="K7" s="14" t="n">
        <v>1200</v>
      </c>
      <c r="L7" s="15" t="n">
        <v>600</v>
      </c>
      <c r="M7" s="14" t="n">
        <v>1800</v>
      </c>
      <c r="N7" s="15" t="n">
        <v>1200</v>
      </c>
    </row>
    <row r="8">
      <c r="A8" s="7" t="n">
        <v>2</v>
      </c>
      <c r="B8" s="7" t="n">
        <v>5</v>
      </c>
      <c r="C8" s="6" t="inlineStr">
        <is>
          <t>JSE</t>
        </is>
      </c>
      <c r="D8" s="7" t="inlineStr">
        <is>
          <t>Jadestone Energy</t>
        </is>
      </c>
      <c r="E8" s="7" t="n">
        <v>28</v>
      </c>
      <c r="F8" s="7" t="inlineStr">
        <is>
          <t>p</t>
        </is>
      </c>
      <c r="G8" s="14" t="n">
        <v>500</v>
      </c>
      <c r="H8" s="7" t="n">
        <v>20</v>
      </c>
      <c r="I8" s="14" t="n">
        <v>500</v>
      </c>
      <c r="J8" s="15" t="n">
        <v>0</v>
      </c>
      <c r="K8" s="14" t="n">
        <v>850</v>
      </c>
      <c r="L8" s="15" t="n">
        <v>350</v>
      </c>
      <c r="M8" s="14" t="n">
        <v>1250</v>
      </c>
      <c r="N8" s="15" t="n">
        <v>750</v>
      </c>
    </row>
    <row r="9">
      <c r="A9" s="7" t="n">
        <v>2</v>
      </c>
      <c r="B9" s="7" t="n">
        <v>6</v>
      </c>
      <c r="C9" s="6" t="inlineStr">
        <is>
          <t>GKP</t>
        </is>
      </c>
      <c r="D9" s="7" t="inlineStr">
        <is>
          <t>Gulf Keystone</t>
        </is>
      </c>
      <c r="E9" s="7" t="n">
        <v>204</v>
      </c>
      <c r="F9" s="7" t="inlineStr">
        <is>
          <t>p</t>
        </is>
      </c>
      <c r="G9" s="14" t="n">
        <v>400</v>
      </c>
      <c r="H9" s="7" t="n">
        <v>165</v>
      </c>
      <c r="I9" s="14" t="n">
        <v>200</v>
      </c>
      <c r="J9" s="15" t="n">
        <v>-200</v>
      </c>
      <c r="K9" s="14" t="n">
        <v>720</v>
      </c>
      <c r="L9" s="15" t="n">
        <v>320</v>
      </c>
      <c r="M9" s="14" t="n">
        <v>1400</v>
      </c>
      <c r="N9" s="15" t="n">
        <v>1000</v>
      </c>
    </row>
    <row r="10">
      <c r="A10" s="7" t="n">
        <v>2</v>
      </c>
      <c r="B10" s="7" t="n">
        <v>7</v>
      </c>
      <c r="C10" s="6" t="inlineStr">
        <is>
          <t>FRO</t>
        </is>
      </c>
      <c r="D10" s="7" t="inlineStr">
        <is>
          <t>Frontline</t>
        </is>
      </c>
      <c r="E10" s="7" t="n">
        <v>33.78</v>
      </c>
      <c r="F10" s="7" t="inlineStr">
        <is>
          <t>$</t>
        </is>
      </c>
      <c r="G10" s="14" t="n">
        <v>500</v>
      </c>
      <c r="H10" s="7" t="n">
        <v>25</v>
      </c>
      <c r="I10" s="14" t="n">
        <v>400</v>
      </c>
      <c r="J10" s="15" t="n">
        <v>-100</v>
      </c>
      <c r="K10" s="14" t="n">
        <v>750</v>
      </c>
      <c r="L10" s="15" t="n">
        <v>250</v>
      </c>
      <c r="M10" s="14" t="n">
        <v>1250</v>
      </c>
      <c r="N10" s="15" t="n">
        <v>750</v>
      </c>
    </row>
    <row r="11">
      <c r="A11" s="7" t="n">
        <v>2</v>
      </c>
      <c r="B11" s="7" t="n">
        <v>8</v>
      </c>
      <c r="C11" s="6" t="inlineStr">
        <is>
          <t>AXL</t>
        </is>
      </c>
      <c r="D11" s="7" t="inlineStr">
        <is>
          <t>Arrow Exploration</t>
        </is>
      </c>
      <c r="E11" s="7" t="n">
        <v>16</v>
      </c>
      <c r="F11" s="7" t="inlineStr">
        <is>
          <t>p</t>
        </is>
      </c>
      <c r="G11" s="14" t="n">
        <v>500</v>
      </c>
      <c r="H11" s="7" t="n">
        <v>12</v>
      </c>
      <c r="I11" s="14" t="n">
        <v>600</v>
      </c>
      <c r="J11" s="15" t="n">
        <v>100</v>
      </c>
      <c r="K11" s="14" t="n">
        <v>1000</v>
      </c>
      <c r="L11" s="15" t="n">
        <v>500</v>
      </c>
      <c r="M11" s="14" t="n">
        <v>1750</v>
      </c>
      <c r="N11" s="15" t="n">
        <v>1250</v>
      </c>
    </row>
    <row r="12">
      <c r="A12" s="7" t="n">
        <v>2</v>
      </c>
      <c r="B12" s="7" t="n">
        <v>9</v>
      </c>
      <c r="C12" s="6" t="inlineStr">
        <is>
          <t>PXEN</t>
        </is>
      </c>
      <c r="D12" s="7" t="inlineStr">
        <is>
          <t>Prospex Energy</t>
        </is>
      </c>
      <c r="E12" s="7" t="n">
        <v>4.85</v>
      </c>
      <c r="F12" s="7" t="inlineStr">
        <is>
          <t>p</t>
        </is>
      </c>
      <c r="G12" s="14" t="n">
        <v>400</v>
      </c>
      <c r="H12" s="7" t="n">
        <v>3</v>
      </c>
      <c r="I12" s="14" t="n">
        <v>480</v>
      </c>
      <c r="J12" s="15" t="n">
        <v>80</v>
      </c>
      <c r="K12" s="14" t="n">
        <v>1000</v>
      </c>
      <c r="L12" s="15" t="n">
        <v>600</v>
      </c>
      <c r="M12" s="14" t="n">
        <v>2000</v>
      </c>
      <c r="N12" s="15" t="n">
        <v>1600</v>
      </c>
    </row>
    <row r="13">
      <c r="A13" s="7" t="n">
        <v>2</v>
      </c>
      <c r="B13" s="7" t="n">
        <v>10</v>
      </c>
      <c r="C13" s="6" t="inlineStr">
        <is>
          <t>SEPL</t>
        </is>
      </c>
      <c r="D13" s="7" t="inlineStr">
        <is>
          <t>Seplat Energy</t>
        </is>
      </c>
      <c r="E13" s="7" t="n">
        <v>456</v>
      </c>
      <c r="F13" s="7" t="inlineStr">
        <is>
          <t>p</t>
        </is>
      </c>
      <c r="G13" s="14" t="n">
        <v>400</v>
      </c>
      <c r="H13" s="7" t="n">
        <v>350</v>
      </c>
      <c r="I13" s="14" t="n">
        <v>440</v>
      </c>
      <c r="J13" s="15" t="n">
        <v>40</v>
      </c>
      <c r="K13" s="14" t="n">
        <v>560</v>
      </c>
      <c r="L13" s="15" t="n">
        <v>160</v>
      </c>
      <c r="M13" s="14" t="n">
        <v>720</v>
      </c>
      <c r="N13" s="15" t="n">
        <v>320</v>
      </c>
    </row>
    <row r="14">
      <c r="A14" s="7" t="n">
        <v>2</v>
      </c>
      <c r="B14" s="7" t="n">
        <v>11</v>
      </c>
      <c r="C14" s="6" t="inlineStr">
        <is>
          <t>BOR</t>
        </is>
      </c>
      <c r="D14" s="7" t="inlineStr">
        <is>
          <t>Borders &amp; Southern</t>
        </is>
      </c>
      <c r="E14" s="7" t="n">
        <v>10</v>
      </c>
      <c r="F14" s="7" t="inlineStr">
        <is>
          <t>p</t>
        </is>
      </c>
      <c r="G14" s="14" t="n">
        <v>300</v>
      </c>
      <c r="H14" s="7" t="n">
        <v>5</v>
      </c>
      <c r="I14" s="14" t="n">
        <v>210</v>
      </c>
      <c r="J14" s="15" t="n">
        <v>-90</v>
      </c>
      <c r="K14" s="14" t="n">
        <v>600</v>
      </c>
      <c r="L14" s="15" t="n">
        <v>300</v>
      </c>
      <c r="M14" s="14" t="n">
        <v>2400</v>
      </c>
      <c r="N14" s="15" t="n">
        <v>2100</v>
      </c>
    </row>
    <row r="15">
      <c r="A15" s="7" t="n">
        <v>2</v>
      </c>
      <c r="B15" s="7" t="n">
        <v>12</v>
      </c>
      <c r="C15" s="6" t="inlineStr">
        <is>
          <t>RKH</t>
        </is>
      </c>
      <c r="D15" s="7" t="inlineStr">
        <is>
          <t>Rockhopper</t>
        </is>
      </c>
      <c r="E15" s="7" t="n">
        <v>75</v>
      </c>
      <c r="F15" s="7" t="inlineStr">
        <is>
          <t>p</t>
        </is>
      </c>
      <c r="G15" s="14" t="n">
        <v>300</v>
      </c>
      <c r="H15" s="7" t="n">
        <v>55</v>
      </c>
      <c r="I15" s="14" t="n">
        <v>300</v>
      </c>
      <c r="J15" s="15" t="n">
        <v>0</v>
      </c>
      <c r="K15" s="14" t="n">
        <v>450</v>
      </c>
      <c r="L15" s="15" t="n">
        <v>150</v>
      </c>
      <c r="M15" s="14" t="n">
        <v>750</v>
      </c>
      <c r="N15" s="15" t="n">
        <v>450</v>
      </c>
    </row>
    <row r="16">
      <c r="A16" s="7" t="n">
        <v>2</v>
      </c>
      <c r="B16" s="7" t="n">
        <v>13</v>
      </c>
      <c r="C16" s="6" t="inlineStr">
        <is>
          <t>ENQ</t>
        </is>
      </c>
      <c r="D16" s="7" t="inlineStr">
        <is>
          <t>EnQuest</t>
        </is>
      </c>
      <c r="E16" s="7" t="n">
        <v>13</v>
      </c>
      <c r="F16" s="7" t="inlineStr">
        <is>
          <t>p</t>
        </is>
      </c>
      <c r="G16" s="14" t="n">
        <v>300</v>
      </c>
      <c r="H16" s="7" t="n">
        <v>9</v>
      </c>
      <c r="I16" s="14" t="n">
        <v>300</v>
      </c>
      <c r="J16" s="15" t="n">
        <v>0</v>
      </c>
      <c r="K16" s="14" t="n">
        <v>540</v>
      </c>
      <c r="L16" s="15" t="n">
        <v>240</v>
      </c>
      <c r="M16" s="14" t="n">
        <v>750</v>
      </c>
      <c r="N16" s="15" t="n">
        <v>450</v>
      </c>
    </row>
    <row r="17">
      <c r="A17" s="9" t="n">
        <v>3</v>
      </c>
      <c r="B17" s="9" t="n">
        <v>14</v>
      </c>
      <c r="C17" s="8" t="inlineStr">
        <is>
          <t>PTAL</t>
        </is>
      </c>
      <c r="D17" s="9" t="inlineStr">
        <is>
          <t>PetroTal</t>
        </is>
      </c>
      <c r="E17" s="9" t="n">
        <v>38</v>
      </c>
      <c r="F17" s="9" t="inlineStr">
        <is>
          <t>p</t>
        </is>
      </c>
      <c r="G17" s="16" t="n">
        <v>200</v>
      </c>
      <c r="H17" s="9" t="n">
        <v>28</v>
      </c>
      <c r="I17" s="16" t="n">
        <v>200</v>
      </c>
      <c r="J17" s="17" t="n">
        <v>0</v>
      </c>
      <c r="K17" s="16" t="n">
        <v>300</v>
      </c>
      <c r="L17" s="17" t="n">
        <v>100</v>
      </c>
      <c r="M17" s="16" t="n">
        <v>500</v>
      </c>
      <c r="N17" s="17" t="n">
        <v>300</v>
      </c>
    </row>
    <row r="18">
      <c r="A18" s="9" t="n">
        <v>3</v>
      </c>
      <c r="B18" s="9" t="n">
        <v>15</v>
      </c>
      <c r="C18" s="8" t="inlineStr">
        <is>
          <t>AEX</t>
        </is>
      </c>
      <c r="D18" s="9" t="inlineStr">
        <is>
          <t>Aminex</t>
        </is>
      </c>
      <c r="E18" s="9" t="n">
        <v>2.3</v>
      </c>
      <c r="F18" s="9" t="inlineStr">
        <is>
          <t>p</t>
        </is>
      </c>
      <c r="G18" s="16" t="n">
        <v>100</v>
      </c>
      <c r="H18" s="9" t="n">
        <v>1.5</v>
      </c>
      <c r="I18" s="16" t="n">
        <v>70</v>
      </c>
      <c r="J18" s="17" t="n">
        <v>-30</v>
      </c>
      <c r="K18" s="16" t="n">
        <v>200</v>
      </c>
      <c r="L18" s="17" t="n">
        <v>100</v>
      </c>
      <c r="M18" s="16" t="n">
        <v>400</v>
      </c>
      <c r="N18" s="17" t="n">
        <v>300</v>
      </c>
    </row>
    <row r="19">
      <c r="A19" s="9" t="n">
        <v>3</v>
      </c>
      <c r="B19" s="9" t="n">
        <v>16</v>
      </c>
      <c r="C19" s="8" t="inlineStr">
        <is>
          <t>ECO</t>
        </is>
      </c>
      <c r="D19" s="9" t="inlineStr">
        <is>
          <t>Eco (Atlantic)</t>
        </is>
      </c>
      <c r="E19" s="9" t="n">
        <v>12</v>
      </c>
      <c r="F19" s="9" t="inlineStr">
        <is>
          <t>p</t>
        </is>
      </c>
      <c r="G19" s="16" t="n">
        <v>150</v>
      </c>
      <c r="H19" s="9" t="n">
        <v>7</v>
      </c>
      <c r="I19" s="16" t="n">
        <v>90</v>
      </c>
      <c r="J19" s="17" t="n">
        <v>-60</v>
      </c>
      <c r="K19" s="16" t="n">
        <v>270</v>
      </c>
      <c r="L19" s="17" t="n">
        <v>120</v>
      </c>
      <c r="M19" s="16" t="n">
        <v>750</v>
      </c>
      <c r="N19" s="17" t="n">
        <v>600</v>
      </c>
    </row>
    <row r="20">
      <c r="A20" s="9" t="n">
        <v>3</v>
      </c>
      <c r="B20" s="9" t="n">
        <v>17</v>
      </c>
      <c r="C20" s="8" t="inlineStr">
        <is>
          <t>STAR</t>
        </is>
      </c>
      <c r="D20" s="9" t="inlineStr">
        <is>
          <t>Star Energy</t>
        </is>
      </c>
      <c r="E20" s="9" t="n">
        <v>13.5</v>
      </c>
      <c r="F20" s="9" t="inlineStr">
        <is>
          <t>p</t>
        </is>
      </c>
      <c r="G20" s="16" t="n">
        <v>150</v>
      </c>
      <c r="H20" s="9" t="n">
        <v>9</v>
      </c>
      <c r="I20" s="16" t="n">
        <v>150</v>
      </c>
      <c r="J20" s="17" t="n">
        <v>0</v>
      </c>
      <c r="K20" s="16" t="n">
        <v>300</v>
      </c>
      <c r="L20" s="17" t="n">
        <v>150</v>
      </c>
      <c r="M20" s="16" t="n">
        <v>450</v>
      </c>
      <c r="N20" s="17" t="n">
        <v>300</v>
      </c>
    </row>
    <row r="21">
      <c r="A21" s="9" t="n">
        <v>3</v>
      </c>
      <c r="B21" s="9" t="n">
        <v>18</v>
      </c>
      <c r="C21" s="8" t="inlineStr">
        <is>
          <t>88E</t>
        </is>
      </c>
      <c r="D21" s="9" t="inlineStr">
        <is>
          <t>88 Energy</t>
        </is>
      </c>
      <c r="E21" s="9" t="n">
        <v>1.1</v>
      </c>
      <c r="F21" s="9" t="inlineStr">
        <is>
          <t>p</t>
        </is>
      </c>
      <c r="G21" s="16" t="n">
        <v>100</v>
      </c>
      <c r="H21" s="9" t="n">
        <v>0.5</v>
      </c>
      <c r="I21" s="16" t="n">
        <v>50</v>
      </c>
      <c r="J21" s="17" t="n">
        <v>-50</v>
      </c>
      <c r="K21" s="16" t="n">
        <v>150</v>
      </c>
      <c r="L21" s="17" t="n">
        <v>50</v>
      </c>
      <c r="M21" s="16" t="n">
        <v>500</v>
      </c>
      <c r="N21" s="17" t="n">
        <v>400</v>
      </c>
    </row>
    <row r="22">
      <c r="A22" s="9" t="n">
        <v>3</v>
      </c>
      <c r="B22" s="9" t="n">
        <v>19</v>
      </c>
      <c r="C22" s="8" t="inlineStr">
        <is>
          <t>PANR</t>
        </is>
      </c>
      <c r="D22" s="9" t="inlineStr">
        <is>
          <t>Pantheon Resources</t>
        </is>
      </c>
      <c r="E22" s="9" t="n">
        <v>8</v>
      </c>
      <c r="F22" s="9" t="inlineStr">
        <is>
          <t>p</t>
        </is>
      </c>
      <c r="G22" s="16" t="n">
        <v>100</v>
      </c>
      <c r="H22" s="9" t="n">
        <v>4</v>
      </c>
      <c r="I22" s="16" t="n">
        <v>50</v>
      </c>
      <c r="J22" s="17" t="n">
        <v>-50</v>
      </c>
      <c r="K22" s="16" t="n">
        <v>180</v>
      </c>
      <c r="L22" s="17" t="n">
        <v>80</v>
      </c>
      <c r="M22" s="16" t="n">
        <v>500</v>
      </c>
      <c r="N22" s="17" t="n">
        <v>400</v>
      </c>
    </row>
    <row r="23">
      <c r="A23" s="9" t="n">
        <v>3</v>
      </c>
      <c r="B23" s="9" t="n">
        <v>20</v>
      </c>
      <c r="C23" s="8" t="inlineStr">
        <is>
          <t>CHAR</t>
        </is>
      </c>
      <c r="D23" s="9" t="inlineStr">
        <is>
          <t>Chariot Ltd</t>
        </is>
      </c>
      <c r="E23" s="9" t="n">
        <v>6.8</v>
      </c>
      <c r="F23" s="9" t="inlineStr">
        <is>
          <t>p</t>
        </is>
      </c>
      <c r="G23" s="16" t="n">
        <v>100</v>
      </c>
      <c r="H23" s="9" t="n">
        <v>3.5</v>
      </c>
      <c r="I23" s="16" t="n">
        <v>50</v>
      </c>
      <c r="J23" s="17" t="n">
        <v>-50</v>
      </c>
      <c r="K23" s="16" t="n">
        <v>200</v>
      </c>
      <c r="L23" s="17" t="n">
        <v>100</v>
      </c>
      <c r="M23" s="16" t="n">
        <v>500</v>
      </c>
      <c r="N23" s="17" t="n">
        <v>400</v>
      </c>
    </row>
    <row r="24">
      <c r="A24" s="9" t="n">
        <v>3</v>
      </c>
      <c r="B24" s="9" t="n">
        <v>21</v>
      </c>
      <c r="C24" s="8" t="inlineStr">
        <is>
          <t>SQZ</t>
        </is>
      </c>
      <c r="D24" s="9" t="inlineStr">
        <is>
          <t>Serica Energy</t>
        </is>
      </c>
      <c r="E24" s="9" t="n">
        <v>130</v>
      </c>
      <c r="F24" s="9" t="inlineStr">
        <is>
          <t>p</t>
        </is>
      </c>
      <c r="G24" s="16" t="n">
        <v>150</v>
      </c>
      <c r="H24" s="9" t="n">
        <v>100</v>
      </c>
      <c r="I24" s="16" t="n">
        <v>150</v>
      </c>
      <c r="J24" s="17" t="n">
        <v>0</v>
      </c>
      <c r="K24" s="16" t="n">
        <v>225</v>
      </c>
      <c r="L24" s="17" t="n">
        <v>75</v>
      </c>
      <c r="M24" s="16" t="n">
        <v>300</v>
      </c>
      <c r="N24" s="17" t="n">
        <v>150</v>
      </c>
    </row>
    <row r="25">
      <c r="A25" s="9" t="n">
        <v>3</v>
      </c>
      <c r="B25" s="9" t="n">
        <v>22</v>
      </c>
      <c r="C25" s="8" t="inlineStr">
        <is>
          <t>ITH</t>
        </is>
      </c>
      <c r="D25" s="9" t="inlineStr">
        <is>
          <t>Ithaca Energy</t>
        </is>
      </c>
      <c r="E25" s="9" t="n">
        <v>130</v>
      </c>
      <c r="F25" s="9" t="inlineStr">
        <is>
          <t>p</t>
        </is>
      </c>
      <c r="G25" s="16" t="n">
        <v>100</v>
      </c>
      <c r="H25" s="9" t="n">
        <v>100</v>
      </c>
      <c r="I25" s="16" t="n">
        <v>100</v>
      </c>
      <c r="J25" s="17" t="n">
        <v>0</v>
      </c>
      <c r="K25" s="16" t="n">
        <v>130</v>
      </c>
      <c r="L25" s="17" t="n">
        <v>30</v>
      </c>
      <c r="M25" s="16" t="n">
        <v>170</v>
      </c>
      <c r="N25" s="17" t="n">
        <v>70</v>
      </c>
    </row>
    <row r="26">
      <c r="A26" s="11" t="n">
        <v>4</v>
      </c>
      <c r="B26" s="11" t="n">
        <v>23</v>
      </c>
      <c r="C26" s="10" t="inlineStr">
        <is>
          <t>HBR</t>
        </is>
      </c>
      <c r="D26" s="11" t="inlineStr">
        <is>
          <t>Harbour Energy</t>
        </is>
      </c>
      <c r="E26" s="11" t="n">
        <v>300</v>
      </c>
      <c r="F26" s="11" t="inlineStr">
        <is>
          <t>p</t>
        </is>
      </c>
      <c r="G26" s="18" t="n">
        <v>300</v>
      </c>
      <c r="H26" s="11" t="n">
        <v>240</v>
      </c>
      <c r="I26" s="18" t="n">
        <v>300</v>
      </c>
      <c r="J26" s="19" t="n">
        <v>0</v>
      </c>
      <c r="K26" s="18" t="n">
        <v>420</v>
      </c>
      <c r="L26" s="19" t="n">
        <v>120</v>
      </c>
      <c r="M26" s="18" t="n">
        <v>540</v>
      </c>
      <c r="N26" s="19" t="n">
        <v>240</v>
      </c>
    </row>
    <row r="27">
      <c r="A27" s="11" t="n">
        <v>4</v>
      </c>
      <c r="B27" s="11" t="n">
        <v>24</v>
      </c>
      <c r="C27" s="10" t="inlineStr">
        <is>
          <t>EQNR</t>
        </is>
      </c>
      <c r="D27" s="11" t="inlineStr">
        <is>
          <t>Equinor</t>
        </is>
      </c>
      <c r="E27" s="11" t="n">
        <v>25</v>
      </c>
      <c r="F27" s="11" t="inlineStr">
        <is>
          <t>$</t>
        </is>
      </c>
      <c r="G27" s="18" t="n">
        <v>200</v>
      </c>
      <c r="H27" s="11" t="n">
        <v>20</v>
      </c>
      <c r="I27" s="18" t="n">
        <v>200</v>
      </c>
      <c r="J27" s="19" t="n">
        <v>0</v>
      </c>
      <c r="K27" s="18" t="n">
        <v>260</v>
      </c>
      <c r="L27" s="19" t="n">
        <v>60</v>
      </c>
      <c r="M27" s="18" t="n">
        <v>320</v>
      </c>
      <c r="N27" s="19" t="n">
        <v>120</v>
      </c>
    </row>
    <row r="28">
      <c r="A28" s="11" t="n">
        <v>4</v>
      </c>
      <c r="B28" s="11" t="n">
        <v>25</v>
      </c>
      <c r="C28" s="10" t="inlineStr">
        <is>
          <t>PBR</t>
        </is>
      </c>
      <c r="D28" s="11" t="inlineStr">
        <is>
          <t>Petrobras ADR</t>
        </is>
      </c>
      <c r="E28" s="11" t="n">
        <v>14.5</v>
      </c>
      <c r="F28" s="11" t="inlineStr">
        <is>
          <t>$</t>
        </is>
      </c>
      <c r="G28" s="18" t="n">
        <v>150</v>
      </c>
      <c r="H28" s="11" t="n">
        <v>11</v>
      </c>
      <c r="I28" s="18" t="n">
        <v>150</v>
      </c>
      <c r="J28" s="19" t="n">
        <v>0</v>
      </c>
      <c r="K28" s="18" t="n">
        <v>195</v>
      </c>
      <c r="L28" s="19" t="n">
        <v>45</v>
      </c>
      <c r="M28" s="18" t="n">
        <v>240</v>
      </c>
      <c r="N28" s="19" t="n">
        <v>90</v>
      </c>
    </row>
    <row r="29">
      <c r="A29" s="11" t="n">
        <v>4</v>
      </c>
      <c r="B29" s="11" t="n">
        <v>26</v>
      </c>
      <c r="C29" s="10" t="inlineStr">
        <is>
          <t>ENIM</t>
        </is>
      </c>
      <c r="D29" s="11" t="inlineStr">
        <is>
          <t>Eni</t>
        </is>
      </c>
      <c r="E29" s="11" t="n">
        <v>13.5</v>
      </c>
      <c r="F29" s="11" t="inlineStr">
        <is>
          <t>€</t>
        </is>
      </c>
      <c r="G29" s="18" t="n">
        <v>50</v>
      </c>
      <c r="H29" s="11" t="n">
        <v>11</v>
      </c>
      <c r="I29" s="18" t="n">
        <v>50</v>
      </c>
      <c r="J29" s="19" t="n">
        <v>0</v>
      </c>
      <c r="K29" s="18" t="n">
        <v>60</v>
      </c>
      <c r="L29" s="19" t="n">
        <v>10</v>
      </c>
      <c r="M29" s="18" t="n">
        <v>75</v>
      </c>
      <c r="N29" s="19" t="n">
        <v>25</v>
      </c>
    </row>
    <row r="30">
      <c r="A30" s="11" t="n">
        <v>4</v>
      </c>
      <c r="B30" s="11" t="n">
        <v>27</v>
      </c>
      <c r="C30" s="10" t="inlineStr">
        <is>
          <t>APC</t>
        </is>
      </c>
      <c r="D30" s="11" t="inlineStr">
        <is>
          <t>ARKO Petroleum</t>
        </is>
      </c>
      <c r="E30" s="11" t="n">
        <v>18.74</v>
      </c>
      <c r="F30" s="11" t="inlineStr">
        <is>
          <t>$</t>
        </is>
      </c>
      <c r="G30" s="18" t="n">
        <v>50</v>
      </c>
      <c r="H30" s="11" t="n">
        <v>16</v>
      </c>
      <c r="I30" s="18" t="n">
        <v>45</v>
      </c>
      <c r="J30" s="19" t="n">
        <v>-5</v>
      </c>
      <c r="K30" s="18" t="n">
        <v>55</v>
      </c>
      <c r="L30" s="19" t="n">
        <v>5</v>
      </c>
      <c r="M30" s="18" t="n">
        <v>65</v>
      </c>
      <c r="N30" s="19" t="n">
        <v>15</v>
      </c>
    </row>
    <row r="31">
      <c r="A31" s="20" t="n"/>
      <c r="B31" s="20" t="n"/>
      <c r="C31" s="21" t="inlineStr">
        <is>
          <t>TOTALS</t>
        </is>
      </c>
      <c r="D31" s="20" t="n"/>
      <c r="E31" s="20" t="n"/>
      <c r="F31" s="20" t="n"/>
      <c r="G31" s="22">
        <f>SUM(G4:G30)</f>
        <v/>
      </c>
      <c r="H31" s="20" t="n"/>
      <c r="I31" s="22">
        <f>SUM(I4:I30)</f>
        <v/>
      </c>
      <c r="J31" s="22">
        <f>SUM(J4:J30)</f>
        <v/>
      </c>
      <c r="K31" s="22">
        <f>SUM(K4:K30)</f>
        <v/>
      </c>
      <c r="L31" s="22">
        <f>SUM(L4:L30)</f>
        <v/>
      </c>
      <c r="M31" s="22">
        <f>SUM(M4:M30)</f>
        <v/>
      </c>
      <c r="N31" s="22">
        <f>SUM(N4:N30)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A843"/>
    <outlinePr summaryBelow="1" summaryRight="1"/>
    <pageSetUpPr/>
  </sheetPr>
  <dimension ref="A1:L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8" customWidth="1" min="4" max="4"/>
    <col width="8" customWidth="1" min="5" max="5"/>
    <col width="14" customWidth="1" min="6" max="6"/>
    <col width="20" customWidth="1" min="7" max="7"/>
    <col width="14" customWidth="1" min="8" max="8"/>
    <col width="30" customWidth="1" min="9" max="9"/>
    <col width="12" customWidth="1" min="10" max="10"/>
  </cols>
  <sheetData>
    <row r="1">
      <c r="A1" s="1" t="inlineStr">
        <is>
          <t>CRUDE GRADE &amp; SUPPLY/DEMAND ANALYSIS — Hormuz Premium Hierarchy</t>
        </is>
      </c>
    </row>
    <row r="3">
      <c r="A3" s="3" t="inlineStr">
        <is>
          <t>Ticker</t>
        </is>
      </c>
      <c r="B3" s="3" t="inlineStr">
        <is>
          <t>Company</t>
        </is>
      </c>
      <c r="C3" s="3" t="inlineStr">
        <is>
          <t>Crude Grade</t>
        </is>
      </c>
      <c r="D3" s="3" t="inlineStr">
        <is>
          <t>API°</t>
        </is>
      </c>
      <c r="E3" s="3" t="inlineStr">
        <is>
          <t>Sulphur</t>
        </is>
      </c>
      <c r="F3" s="3" t="inlineStr">
        <is>
          <t>Brent Prem/Disc</t>
        </is>
      </c>
      <c r="G3" s="3" t="inlineStr">
        <is>
          <t>Primary Refinery Market</t>
        </is>
      </c>
      <c r="H3" s="3" t="inlineStr">
        <is>
          <t>Current $/bbl Implied</t>
        </is>
      </c>
      <c r="I3" s="3" t="inlineStr">
        <is>
          <t>Hormuz Demand Logic</t>
        </is>
      </c>
      <c r="J3" s="3" t="inlineStr">
        <is>
          <t>Quality Tier Rank</t>
        </is>
      </c>
    </row>
    <row r="4">
      <c r="A4" s="23" t="inlineStr">
        <is>
          <t>HBR</t>
        </is>
      </c>
      <c r="B4" s="23" t="inlineStr">
        <is>
          <t>Harbour Energy</t>
        </is>
      </c>
      <c r="C4" s="24" t="inlineStr">
        <is>
          <t>Johan Sverdrup (Norway)</t>
        </is>
      </c>
      <c r="D4" s="24" t="inlineStr">
        <is>
          <t>~28° Med Sour</t>
        </is>
      </c>
      <c r="E4" s="24" t="inlineStr">
        <is>
          <t>Medium</t>
        </is>
      </c>
      <c r="F4" s="24" t="inlineStr">
        <is>
          <t>+$11.30 RECORD</t>
        </is>
      </c>
      <c r="G4" s="24" t="inlineStr">
        <is>
          <t>Asian complex refiners + EU diesel</t>
        </is>
      </c>
      <c r="H4" s="24" t="inlineStr">
        <is>
          <t>~$124/bbl implied</t>
        </is>
      </c>
      <c r="I4" s="24" t="inlineStr">
        <is>
          <t>WORLD'S HIGHEST PREMIUM. Best North Sea replacement for Gulf sour. Asian refiners paying record premiums.</t>
        </is>
      </c>
      <c r="J4" s="24" t="inlineStr">
        <is>
          <t>1 — HIGHEST</t>
        </is>
      </c>
    </row>
    <row r="5">
      <c r="A5" s="23" t="inlineStr">
        <is>
          <t>SEPL</t>
        </is>
      </c>
      <c r="B5" s="23" t="inlineStr">
        <is>
          <t>Seplat Energy</t>
        </is>
      </c>
      <c r="C5" s="24" t="inlineStr">
        <is>
          <t>Bonny Light / Qua Iboe</t>
        </is>
      </c>
      <c r="D5" s="24" t="inlineStr">
        <is>
          <t>~35° Light Sweet</t>
        </is>
      </c>
      <c r="E5" s="24" t="inlineStr">
        <is>
          <t>Ultra-low &lt;0.1%</t>
        </is>
      </c>
      <c r="F5" s="24" t="inlineStr">
        <is>
          <t>+$2 to +$5</t>
        </is>
      </c>
      <c r="G5" s="24" t="inlineStr">
        <is>
          <t>EU premium refiners, Asia</t>
        </is>
      </c>
      <c r="H5" s="24" t="inlineStr">
        <is>
          <t>~$96-104/bbl</t>
        </is>
      </c>
      <c r="I5" s="24" t="inlineStr">
        <is>
          <t>Global benchmark premium crude. Highest refinery yield. Hormuz = EU buyers paying any price for Atlantic sweet.</t>
        </is>
      </c>
      <c r="J5" s="24" t="inlineStr">
        <is>
          <t>2 — PREMIUM</t>
        </is>
      </c>
    </row>
    <row r="6">
      <c r="A6" s="23" t="inlineStr">
        <is>
          <t>JSE</t>
        </is>
      </c>
      <c r="B6" s="23" t="inlineStr">
        <is>
          <t>Jadestone Energy</t>
        </is>
      </c>
      <c r="C6" s="24" t="inlineStr">
        <is>
          <t>Montara (Australia)</t>
        </is>
      </c>
      <c r="D6" s="24" t="inlineStr">
        <is>
          <t>~47° Condensate</t>
        </is>
      </c>
      <c r="E6" s="24" t="inlineStr">
        <is>
          <t>Ultra-low</t>
        </is>
      </c>
      <c r="F6" s="24" t="inlineStr">
        <is>
          <t>+$3 to +$10</t>
        </is>
      </c>
      <c r="G6" s="24" t="inlineStr">
        <is>
          <t>Japanese + Korean refiners</t>
        </is>
      </c>
      <c r="H6" s="24" t="inlineStr">
        <is>
          <t>~$97-115/bbl</t>
        </is>
      </c>
      <c r="I6" s="24" t="inlineStr">
        <is>
          <t>HIGHEST API in portfolio. Japan/Korea 100% Gulf-dependent. Labuan/Bach Ho at $10+ premiums. Condensate = petrochemical feedstock.</t>
        </is>
      </c>
      <c r="J6" s="24" t="inlineStr">
        <is>
          <t>2 — PREMIUM</t>
        </is>
      </c>
    </row>
    <row r="7">
      <c r="A7" s="23" t="inlineStr">
        <is>
          <t>BOR</t>
        </is>
      </c>
      <c r="B7" s="23" t="inlineStr">
        <is>
          <t>Borders &amp; Southern</t>
        </is>
      </c>
      <c r="C7" s="24" t="inlineStr">
        <is>
          <t>Darwin Gas Condensate</t>
        </is>
      </c>
      <c r="D7" s="24" t="inlineStr">
        <is>
          <t>46-49° Ultra-light</t>
        </is>
      </c>
      <c r="E7" s="24" t="inlineStr">
        <is>
          <t>Nil</t>
        </is>
      </c>
      <c r="F7" s="24" t="inlineStr">
        <is>
          <t>+$5-10 condensate</t>
        </is>
      </c>
      <c r="G7" s="24" t="inlineStr">
        <is>
          <t>EU petrochemical crackers</t>
        </is>
      </c>
      <c r="H7" s="24" t="inlineStr">
        <is>
          <t>~$99-115/bbl equiv</t>
        </is>
      </c>
      <c r="I7" s="24" t="inlineStr">
        <is>
          <t>Russian condensate banned. Darwin = PERFECT EU replacement. Ultra-light = ethylene cracker feedstock.</t>
        </is>
      </c>
      <c r="J7" s="24" t="inlineStr">
        <is>
          <t>2 — PREMIUM</t>
        </is>
      </c>
    </row>
    <row r="8">
      <c r="A8" s="23" t="inlineStr">
        <is>
          <t>KOS</t>
        </is>
      </c>
      <c r="B8" s="23" t="inlineStr">
        <is>
          <t>Kosmos Energy</t>
        </is>
      </c>
      <c r="C8" s="24" t="inlineStr">
        <is>
          <t>Jubilee Blend (Ghana)</t>
        </is>
      </c>
      <c r="D8" s="24" t="inlineStr">
        <is>
          <t>~37° Light Sweet</t>
        </is>
      </c>
      <c r="E8" s="24" t="inlineStr">
        <is>
          <t>Very Low</t>
        </is>
      </c>
      <c r="F8" s="24" t="inlineStr">
        <is>
          <t>Flat to +$2</t>
        </is>
      </c>
      <c r="G8" s="24" t="inlineStr">
        <is>
          <t>Asian + EU refiners</t>
        </is>
      </c>
      <c r="H8" s="24" t="inlineStr">
        <is>
          <t>~$94-102/bbl</t>
        </is>
      </c>
      <c r="I8" s="24" t="inlineStr">
        <is>
          <t>Light sweet + GTA LNG entering market as Qatar offline. Dual oil+gas premium.</t>
        </is>
      </c>
      <c r="J8" s="24" t="inlineStr">
        <is>
          <t>3 — HIGH</t>
        </is>
      </c>
    </row>
    <row r="9">
      <c r="A9" s="23" t="inlineStr">
        <is>
          <t>EGY</t>
        </is>
      </c>
      <c r="B9" s="23" t="inlineStr">
        <is>
          <t>VAALCO Energy</t>
        </is>
      </c>
      <c r="C9" s="24" t="inlineStr">
        <is>
          <t>Etame Marin (Gabon)</t>
        </is>
      </c>
      <c r="D9" s="24" t="inlineStr">
        <is>
          <t>~31° Light Sweet</t>
        </is>
      </c>
      <c r="E9" s="24" t="inlineStr">
        <is>
          <t>Low Sweet</t>
        </is>
      </c>
      <c r="F9" s="24" t="inlineStr">
        <is>
          <t>Flat</t>
        </is>
      </c>
      <c r="G9" s="24" t="inlineStr">
        <is>
          <t>EU + Asian refiners</t>
        </is>
      </c>
      <c r="H9" s="24" t="inlineStr">
        <is>
          <t>~$94-100/bbl</t>
        </is>
      </c>
      <c r="I9" s="24" t="inlineStr">
        <is>
          <t>Named top 5 Hormuz stock by OilPrice.com. All assets thousands of miles from Hormuz.</t>
        </is>
      </c>
      <c r="J9" s="24" t="inlineStr">
        <is>
          <t>3 — HIGH</t>
        </is>
      </c>
    </row>
    <row r="10">
      <c r="A10" s="23" t="inlineStr">
        <is>
          <t>AET</t>
        </is>
      </c>
      <c r="B10" s="23" t="inlineStr">
        <is>
          <t>Afentra</t>
        </is>
      </c>
      <c r="C10" s="24" t="inlineStr">
        <is>
          <t>Palanca Blend (Angola)</t>
        </is>
      </c>
      <c r="D10" s="24" t="inlineStr">
        <is>
          <t>28-32° Light-Med</t>
        </is>
      </c>
      <c r="E10" s="24" t="inlineStr">
        <is>
          <t>Low &lt;0.5%</t>
        </is>
      </c>
      <c r="F10" s="24" t="inlineStr">
        <is>
          <t>-$2 to -$4</t>
        </is>
      </c>
      <c r="G10" s="24" t="inlineStr">
        <is>
          <t>China refiners (primary)</t>
        </is>
      </c>
      <c r="H10" s="24" t="inlineStr">
        <is>
          <t>~$90-98/bbl</t>
        </is>
      </c>
      <c r="I10" s="24" t="inlineStr">
        <is>
          <t>China's preferred Gulf replacement. Angola post-OPEC = max production. Takeover premium adds further.</t>
        </is>
      </c>
      <c r="J10" s="24" t="inlineStr">
        <is>
          <t>3 — HIGH</t>
        </is>
      </c>
    </row>
    <row r="11">
      <c r="A11" s="23" t="inlineStr">
        <is>
          <t>GKP</t>
        </is>
      </c>
      <c r="B11" s="23" t="inlineStr">
        <is>
          <t>Gulf Keystone</t>
        </is>
      </c>
      <c r="C11" s="24" t="inlineStr">
        <is>
          <t>Shaikan (Kurdistan)</t>
        </is>
      </c>
      <c r="D11" s="24" t="inlineStr">
        <is>
          <t>~35° Light Sweet</t>
        </is>
      </c>
      <c r="E11" s="24" t="inlineStr">
        <is>
          <t>Low-Med</t>
        </is>
      </c>
      <c r="F11" s="24" t="inlineStr">
        <is>
          <t>-$10 to -$20 (interim)</t>
        </is>
      </c>
      <c r="G11" s="24" t="inlineStr">
        <is>
          <t>Mediterranean refiners via Ceyhan</t>
        </is>
      </c>
      <c r="H11" s="24" t="inlineStr">
        <is>
          <t>~$74-84 (interim) → $90+ intl</t>
        </is>
      </c>
      <c r="I11" s="24" t="inlineStr">
        <is>
          <t>Ceyhan = ONLY Med crude export if Hormuz closed. If intl pricing achieved: $90+ vs current $30.</t>
        </is>
      </c>
      <c r="J11" s="24" t="inlineStr">
        <is>
          <t>3 — HIGH (if restart)</t>
        </is>
      </c>
    </row>
    <row r="12">
      <c r="A12" s="23" t="inlineStr">
        <is>
          <t>AXL</t>
        </is>
      </c>
      <c r="B12" s="23" t="inlineStr">
        <is>
          <t>Arrow Exploration</t>
        </is>
      </c>
      <c r="C12" s="24" t="inlineStr">
        <is>
          <t>Llanos Basin (Colombia)</t>
        </is>
      </c>
      <c r="D12" s="24" t="inlineStr">
        <is>
          <t>~31° Light Sweet</t>
        </is>
      </c>
      <c r="E12" s="24" t="inlineStr">
        <is>
          <t>Sweet</t>
        </is>
      </c>
      <c r="F12" s="24" t="inlineStr">
        <is>
          <t>Brent-linked</t>
        </is>
      </c>
      <c r="G12" s="24" t="inlineStr">
        <is>
          <t>Regional + export</t>
        </is>
      </c>
      <c r="H12" s="24" t="inlineStr">
        <is>
          <t>~$90-94/bbl</t>
        </is>
      </c>
      <c r="I12" s="24" t="inlineStr">
        <is>
          <t>Colombian crude entirely bypasses Hormuz. Brent-priced. $90+ oil dramatically improves well economics.</t>
        </is>
      </c>
      <c r="J12" s="24" t="inlineStr">
        <is>
          <t>4 — GOOD</t>
        </is>
      </c>
    </row>
    <row r="13">
      <c r="A13" s="23" t="inlineStr">
        <is>
          <t>ENQ</t>
        </is>
      </c>
      <c r="B13" s="23" t="inlineStr">
        <is>
          <t>EnQuest</t>
        </is>
      </c>
      <c r="C13" s="24" t="inlineStr">
        <is>
          <t>North Sea Basket + SEA</t>
        </is>
      </c>
      <c r="D13" s="24" t="inlineStr">
        <is>
          <t>Mixed 30-40°</t>
        </is>
      </c>
      <c r="E13" s="24" t="inlineStr">
        <is>
          <t>Mixed</t>
        </is>
      </c>
      <c r="F13" s="24" t="inlineStr">
        <is>
          <t>Brent/NBP-linked + Asia</t>
        </is>
      </c>
      <c r="G13" s="24" t="inlineStr">
        <is>
          <t>EU + Asian refiners</t>
        </is>
      </c>
      <c r="H13" s="24" t="inlineStr">
        <is>
          <t>~$94-110/bbl (mixed)</t>
        </is>
      </c>
      <c r="I13" s="24" t="inlineStr">
        <is>
          <t>Magnus (UK) + Seligi gas (Malaysia) + Vietnam. Medium sour component benefits from Sverdrup-type premiums.</t>
        </is>
      </c>
      <c r="J13" s="24" t="inlineStr">
        <is>
          <t>4 — GOOD</t>
        </is>
      </c>
    </row>
    <row r="14">
      <c r="A14" s="23" t="inlineStr">
        <is>
          <t>EQNR</t>
        </is>
      </c>
      <c r="B14" s="23" t="inlineStr">
        <is>
          <t>Equinor</t>
        </is>
      </c>
      <c r="C14" s="24" t="inlineStr">
        <is>
          <t>Johan Sverdrup (Operator)</t>
        </is>
      </c>
      <c r="D14" s="24" t="inlineStr">
        <is>
          <t>~28° Med Sour</t>
        </is>
      </c>
      <c r="E14" s="24" t="inlineStr">
        <is>
          <t>Medium</t>
        </is>
      </c>
      <c r="F14" s="24" t="inlineStr">
        <is>
          <t>+$11.30 RECORD</t>
        </is>
      </c>
      <c r="G14" s="24" t="inlineStr">
        <is>
          <t>Global — operator of world's premium crude</t>
        </is>
      </c>
      <c r="H14" s="24" t="inlineStr">
        <is>
          <t>~$124/bbl implied</t>
        </is>
      </c>
      <c r="I14" s="24" t="inlineStr">
        <is>
          <t>31.6% operator stake in Sverdrup. ~$1.6B annualised incremental revenue from differential alone.</t>
        </is>
      </c>
      <c r="J14" s="24" t="inlineStr">
        <is>
          <t>1 — HIGHEST</t>
        </is>
      </c>
    </row>
    <row r="15">
      <c r="A15" s="23" t="inlineStr">
        <is>
          <t>PXEN</t>
        </is>
      </c>
      <c r="B15" s="23" t="inlineStr">
        <is>
          <t>Prospex Energy</t>
        </is>
      </c>
      <c r="C15" s="24" t="inlineStr">
        <is>
          <t>European Natural Gas</t>
        </is>
      </c>
      <c r="D15" s="24" t="inlineStr">
        <is>
          <t>Gas</t>
        </is>
      </c>
      <c r="E15" s="24" t="inlineStr">
        <is>
          <t>None</t>
        </is>
      </c>
      <c r="F15" s="24" t="inlineStr">
        <is>
          <t>TTF benchmark</t>
        </is>
      </c>
      <c r="G15" s="24" t="inlineStr">
        <is>
          <t>Spanish/Italian grid</t>
        </is>
      </c>
      <c r="H15" s="24" t="inlineStr">
        <is>
          <t>~€52/MWh (spiking)</t>
        </is>
      </c>
      <c r="I15" s="24" t="inlineStr">
        <is>
          <t>Qatar LNG stranded = EU gas crisis 2.0. Domestic EU gas = strategic. TTF doubled.</t>
        </is>
      </c>
      <c r="J15" s="24" t="inlineStr">
        <is>
          <t>SPECIAL — GAS</t>
        </is>
      </c>
    </row>
    <row r="16">
      <c r="A16" s="23" t="inlineStr">
        <is>
          <t>FRO/IMPP</t>
        </is>
      </c>
      <c r="B16" s="23" t="inlineStr">
        <is>
          <t>Frontline / Imperial Pet</t>
        </is>
      </c>
      <c r="C16" s="24" t="inlineStr">
        <is>
          <t>N/A — Shipping Fleet</t>
        </is>
      </c>
      <c r="D16" s="24" t="inlineStr">
        <is>
          <t>N/A</t>
        </is>
      </c>
      <c r="E16" s="24" t="inlineStr">
        <is>
          <t>N/A</t>
        </is>
      </c>
      <c r="F16" s="24" t="inlineStr">
        <is>
          <t>N/A</t>
        </is>
      </c>
      <c r="G16" s="24" t="inlineStr">
        <is>
          <t>Global tanker routes</t>
        </is>
      </c>
      <c r="H16" s="24" t="inlineStr">
        <is>
          <t>Rate: $107k/day VLCC</t>
        </is>
      </c>
      <c r="I16" s="24" t="inlineStr">
        <is>
          <t>Route disruption = more tonne-miles = more revenue. Agnostic to crude quality. Benefits from ALL premiums.</t>
        </is>
      </c>
      <c r="J16" s="24" t="inlineStr">
        <is>
          <t>SPECIAL — SHIPPING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25" customWidth="1" min="4" max="4"/>
    <col width="25" customWidth="1" min="5" max="5"/>
    <col width="8" customWidth="1" min="6" max="6"/>
    <col width="18" customWidth="1" min="7" max="7"/>
  </cols>
  <sheetData>
    <row r="1">
      <c r="A1" s="1" t="inlineStr">
        <is>
          <t>CATALYST TIMELINE — Q2 to Q4 2026 | Week-by-Week Action Plan</t>
        </is>
      </c>
    </row>
    <row r="3">
      <c r="A3" s="3" t="inlineStr">
        <is>
          <t>Period</t>
        </is>
      </c>
      <c r="B3" s="3" t="inlineStr">
        <is>
          <t>Ticker(s)</t>
        </is>
      </c>
      <c r="C3" s="3" t="inlineStr">
        <is>
          <t>Catalyst Event</t>
        </is>
      </c>
      <c r="D3" s="3" t="inlineStr">
        <is>
          <t>Bull Outcome</t>
        </is>
      </c>
      <c r="E3" s="3" t="inlineStr">
        <is>
          <t>Bear Outcome</t>
        </is>
      </c>
      <c r="F3" s="3" t="inlineStr">
        <is>
          <t>Probability</t>
        </is>
      </c>
      <c r="G3" s="3" t="inlineStr">
        <is>
          <t>Action Signal</t>
        </is>
      </c>
    </row>
    <row r="4">
      <c r="A4" s="23" t="inlineStr">
        <is>
          <t>NOW Mar 26</t>
        </is>
      </c>
      <c r="B4" s="23" t="inlineStr">
        <is>
          <t>ALL</t>
        </is>
      </c>
      <c r="C4" s="24" t="inlineStr">
        <is>
          <t>Hormuz closure ongoing — Brent ~$92-102</t>
        </is>
      </c>
      <c r="D4" s="24" t="inlineStr">
        <is>
          <t>Oil holds $90-100+, all positions rally</t>
        </is>
      </c>
      <c r="E4" s="24" t="inlineStr">
        <is>
          <t>Ceasefire → oil retraces to $70</t>
        </is>
      </c>
      <c r="F4" s="24" t="inlineStr">
        <is>
          <t>60%</t>
        </is>
      </c>
      <c r="G4" s="24" t="inlineStr">
        <is>
          <t>✅ ENTRY WINDOW OPEN</t>
        </is>
      </c>
    </row>
    <row r="5">
      <c r="A5" s="23" t="inlineStr">
        <is>
          <t>Apr 4</t>
        </is>
      </c>
      <c r="B5" s="23" t="inlineStr">
        <is>
          <t>GKP</t>
        </is>
      </c>
      <c r="C5" s="24" t="inlineStr">
        <is>
          <t>AIM 100 quarterly rebalance</t>
        </is>
      </c>
      <c r="D5" s="24" t="inlineStr">
        <is>
          <t>GKP joins AIM 100 → institutional buying</t>
        </is>
      </c>
      <c r="E5" s="24" t="inlineStr">
        <is>
          <t>No re-rate from index</t>
        </is>
      </c>
      <c r="F5" s="24" t="inlineStr">
        <is>
          <t>50%</t>
        </is>
      </c>
      <c r="G5" s="24" t="inlineStr">
        <is>
          <t>✅ HOLD GKP</t>
        </is>
      </c>
    </row>
    <row r="6">
      <c r="A6" s="23" t="inlineStr">
        <is>
          <t>Apr 10-27</t>
        </is>
      </c>
      <c r="B6" s="23" t="inlineStr">
        <is>
          <t>GKP</t>
        </is>
      </c>
      <c r="C6" s="24" t="inlineStr">
        <is>
          <t>$12.5M interim dividend (record Apr 10, pay Apr 27)</t>
        </is>
      </c>
      <c r="D6" s="24" t="inlineStr">
        <is>
          <t>Dividend + production restart news</t>
        </is>
      </c>
      <c r="E6" s="24" t="inlineStr">
        <is>
          <t>Restart still delayed</t>
        </is>
      </c>
      <c r="F6" s="24" t="inlineStr">
        <is>
          <t>85%</t>
        </is>
      </c>
      <c r="G6" s="24" t="inlineStr">
        <is>
          <t>✅ HOLD through dividend</t>
        </is>
      </c>
    </row>
    <row r="7">
      <c r="A7" s="23" t="inlineStr">
        <is>
          <t>Apr</t>
        </is>
      </c>
      <c r="B7" s="23" t="inlineStr">
        <is>
          <t>AXL</t>
        </is>
      </c>
      <c r="C7" s="24" t="inlineStr">
        <is>
          <t>Icaco exploration well spuds + results</t>
        </is>
      </c>
      <c r="D7" s="24" t="inlineStr">
        <is>
          <t>Material discovery → AXL 25p+</t>
        </is>
      </c>
      <c r="E7" s="24" t="inlineStr">
        <is>
          <t>Dry hole → pullback to 13p</t>
        </is>
      </c>
      <c r="F7" s="24" t="inlineStr">
        <is>
          <t>70%</t>
        </is>
      </c>
      <c r="G7" s="24" t="inlineStr">
        <is>
          <t>🟡 MONITOR closely</t>
        </is>
      </c>
    </row>
    <row r="8">
      <c r="A8" s="23" t="inlineStr">
        <is>
          <t>Apr-May</t>
        </is>
      </c>
      <c r="B8" s="23" t="inlineStr">
        <is>
          <t>AET</t>
        </is>
      </c>
      <c r="C8" s="24" t="inlineStr">
        <is>
          <t>Rule 2.7 formal bid announcement (Jefferies process)</t>
        </is>
      </c>
      <c r="D8" s="24" t="inlineStr">
        <is>
          <t>Bid at 95-120p → 31-67% gain</t>
        </is>
      </c>
      <c r="E8" s="24" t="inlineStr">
        <is>
          <t>No offer → retraces to 60p</t>
        </is>
      </c>
      <c r="F8" s="24" t="inlineStr">
        <is>
          <t>65%</t>
        </is>
      </c>
      <c r="G8" s="24" t="inlineStr">
        <is>
          <t>🎯 KEY EVENT — partial exit at bid</t>
        </is>
      </c>
    </row>
    <row r="9">
      <c r="A9" s="23" t="inlineStr">
        <is>
          <t>Apr-May</t>
        </is>
      </c>
      <c r="B9" s="23" t="inlineStr">
        <is>
          <t>GKP</t>
        </is>
      </c>
      <c r="C9" s="24" t="inlineStr">
        <is>
          <t>Kurdistan production restart decision</t>
        </is>
      </c>
      <c r="D9" s="24" t="inlineStr">
        <is>
          <t>Restart → GKP 280-320p</t>
        </is>
      </c>
      <c r="E9" s="24" t="inlineStr">
        <is>
          <t>Extended shut-in → 200p</t>
        </is>
      </c>
      <c r="F9" s="24" t="inlineStr">
        <is>
          <t>60%</t>
        </is>
      </c>
      <c r="G9" s="24" t="inlineStr">
        <is>
          <t>🔴 CRITICAL — sell partial on 280p</t>
        </is>
      </c>
    </row>
    <row r="10">
      <c r="A10" s="23" t="inlineStr">
        <is>
          <t>Q2</t>
        </is>
      </c>
      <c r="B10" s="23" t="inlineStr">
        <is>
          <t>IMPP</t>
        </is>
      </c>
      <c r="C10" s="24" t="inlineStr">
        <is>
          <t>Q1 2026 earnings at peak Hormuz freight rates</t>
        </is>
      </c>
      <c r="D10" s="24" t="inlineStr">
        <is>
          <t>EPS explosion → re-rating to $6-8</t>
        </is>
      </c>
      <c r="E10" s="24" t="inlineStr">
        <is>
          <t>Market ignores due to dilution fear</t>
        </is>
      </c>
      <c r="F10" s="24" t="inlineStr">
        <is>
          <t>85%</t>
        </is>
      </c>
      <c r="G10" s="24" t="inlineStr">
        <is>
          <t>✅ HOLD through earnings</t>
        </is>
      </c>
    </row>
    <row r="11">
      <c r="A11" s="23" t="inlineStr">
        <is>
          <t>Q2</t>
        </is>
      </c>
      <c r="B11" s="23" t="inlineStr">
        <is>
          <t>FRO</t>
        </is>
      </c>
      <c r="C11" s="24" t="inlineStr">
        <is>
          <t>Q1 earnings — VLCC rates $107k/day reported</t>
        </is>
      </c>
      <c r="D11" s="24" t="inlineStr">
        <is>
          <t>Analyst target upgrades → FRO $40+</t>
        </is>
      </c>
      <c r="E11" s="24" t="inlineStr">
        <is>
          <t>One-off quarter narrative</t>
        </is>
      </c>
      <c r="F11" s="24" t="inlineStr">
        <is>
          <t>80%</t>
        </is>
      </c>
      <c r="G11" s="24" t="inlineStr">
        <is>
          <t>✅ HOLD through earnings</t>
        </is>
      </c>
    </row>
    <row r="12">
      <c r="A12" s="23" t="inlineStr">
        <is>
          <t>Q2</t>
        </is>
      </c>
      <c r="B12" s="23" t="inlineStr">
        <is>
          <t>KOS</t>
        </is>
      </c>
      <c r="C12" s="24" t="inlineStr">
        <is>
          <t>GTA LNG cargoes accelerate (32-36 target for year)</t>
        </is>
      </c>
      <c r="D12" s="24" t="inlineStr">
        <is>
          <t>Revenue inflection → KOS $3.50+</t>
        </is>
      </c>
      <c r="E12" s="24" t="inlineStr">
        <is>
          <t>Cargo delays/technical issues</t>
        </is>
      </c>
      <c r="F12" s="24" t="inlineStr">
        <is>
          <t>75%</t>
        </is>
      </c>
      <c r="G12" s="24" t="inlineStr">
        <is>
          <t>✅ HOLD</t>
        </is>
      </c>
    </row>
    <row r="13">
      <c r="A13" s="23" t="inlineStr">
        <is>
          <t>Q2</t>
        </is>
      </c>
      <c r="B13" s="23" t="inlineStr">
        <is>
          <t>EGY</t>
        </is>
      </c>
      <c r="C13" s="24" t="inlineStr">
        <is>
          <t>Gabon ET-14 drilling completes + Baobab FPSO returns</t>
        </is>
      </c>
      <c r="D13" s="24" t="inlineStr">
        <is>
          <t>Dual production ramp → EGY $8+</t>
        </is>
      </c>
      <c r="E13" s="24" t="inlineStr">
        <is>
          <t>Drilling/FPSO delays</t>
        </is>
      </c>
      <c r="F13" s="24" t="inlineStr">
        <is>
          <t>75%</t>
        </is>
      </c>
      <c r="G13" s="24" t="inlineStr">
        <is>
          <t>✅ HOLD</t>
        </is>
      </c>
    </row>
    <row r="14">
      <c r="A14" s="23" t="inlineStr">
        <is>
          <t>Q2</t>
        </is>
      </c>
      <c r="B14" s="23" t="inlineStr">
        <is>
          <t>JSE</t>
        </is>
      </c>
      <c r="C14" s="24" t="inlineStr">
        <is>
          <t>Vietnam FDP approval + PM323 Malaysia drilling</t>
        </is>
      </c>
      <c r="D14" s="24" t="inlineStr">
        <is>
          <t>FDP approved → JSE 35-40p</t>
        </is>
      </c>
      <c r="E14" s="24" t="inlineStr">
        <is>
          <t>Delayed → flat</t>
        </is>
      </c>
      <c r="F14" s="24" t="inlineStr">
        <is>
          <t>65%</t>
        </is>
      </c>
      <c r="G14" s="24" t="inlineStr">
        <is>
          <t>✅ HOLD through FDP</t>
        </is>
      </c>
    </row>
    <row r="15">
      <c r="A15" s="23" t="inlineStr">
        <is>
          <t>Q2</t>
        </is>
      </c>
      <c r="B15" s="23" t="inlineStr">
        <is>
          <t>ENQ</t>
        </is>
      </c>
      <c r="C15" s="24" t="inlineStr">
        <is>
          <t>Magnus infill drilling + Seligi gas ramp (100 mmscf/d)</t>
        </is>
      </c>
      <c r="D15" s="24" t="inlineStr">
        <is>
          <t>Production beat → ENQ 18-20p</t>
        </is>
      </c>
      <c r="E15" s="24" t="inlineStr">
        <is>
          <t>UK tax pressure weighs</t>
        </is>
      </c>
      <c r="F15" s="24" t="inlineStr">
        <is>
          <t>70%</t>
        </is>
      </c>
      <c r="G15" s="24" t="inlineStr">
        <is>
          <t>✅ HOLD</t>
        </is>
      </c>
    </row>
    <row r="16">
      <c r="A16" s="23" t="inlineStr">
        <is>
          <t>Q2</t>
        </is>
      </c>
      <c r="B16" s="23" t="inlineStr">
        <is>
          <t>HBR</t>
        </is>
      </c>
      <c r="C16" s="24" t="inlineStr">
        <is>
          <t>Johan Sverdrup premium at $11+/bbl vs Brent</t>
        </is>
      </c>
      <c r="D16" s="24" t="inlineStr">
        <is>
          <t>Norwegian margins at historic highs</t>
        </is>
      </c>
      <c r="E16" s="24" t="inlineStr">
        <is>
          <t>Premium narrows on ceasefire</t>
        </is>
      </c>
      <c r="F16" s="24" t="inlineStr">
        <is>
          <t>70%</t>
        </is>
      </c>
      <c r="G16" s="24" t="inlineStr">
        <is>
          <t>✅ INCREASE position</t>
        </is>
      </c>
    </row>
    <row r="17">
      <c r="A17" s="23" t="inlineStr">
        <is>
          <t>Q2</t>
        </is>
      </c>
      <c r="B17" s="23" t="inlineStr">
        <is>
          <t>SEPL</t>
        </is>
      </c>
      <c r="C17" s="24" t="inlineStr">
        <is>
          <t>ANOH gas plant ramp to full capacity</t>
        </is>
      </c>
      <c r="D17" s="24" t="inlineStr">
        <is>
          <t>Bonny Light $100+ → SEPL 550p+</t>
        </is>
      </c>
      <c r="E17" s="24" t="inlineStr">
        <is>
          <t>Nigeria security/regulatory issue</t>
        </is>
      </c>
      <c r="F17" s="24" t="inlineStr">
        <is>
          <t>75%</t>
        </is>
      </c>
      <c r="G17" s="24" t="inlineStr">
        <is>
          <t>✅ HOLD</t>
        </is>
      </c>
    </row>
    <row r="18">
      <c r="A18" s="23" t="inlineStr">
        <is>
          <t>May-Jun</t>
        </is>
      </c>
      <c r="B18" s="23" t="inlineStr">
        <is>
          <t>PXEN</t>
        </is>
      </c>
      <c r="C18" s="24" t="inlineStr">
        <is>
          <t>El Romeral 5-well drilling permits decision</t>
        </is>
      </c>
      <c r="D18" s="24" t="inlineStr">
        <is>
          <t>Permits granted → PXEN 8-10p</t>
        </is>
      </c>
      <c r="E18" s="24" t="inlineStr">
        <is>
          <t>Further delays → flat</t>
        </is>
      </c>
      <c r="F18" s="24" t="inlineStr">
        <is>
          <t>50%</t>
        </is>
      </c>
      <c r="G18" s="24" t="inlineStr">
        <is>
          <t>🟡 WATCH for RNS</t>
        </is>
      </c>
    </row>
    <row r="19">
      <c r="A19" s="23" t="inlineStr">
        <is>
          <t>Jun</t>
        </is>
      </c>
      <c r="B19" s="23" t="inlineStr">
        <is>
          <t>ALL</t>
        </is>
      </c>
      <c r="C19" s="24" t="inlineStr">
        <is>
          <t>Q2 oil price peak — EIA forecasts Q3 decline to &lt;$80</t>
        </is>
      </c>
      <c r="D19" s="24" t="inlineStr">
        <is>
          <t>Oil holds $100+ into July → extend</t>
        </is>
      </c>
      <c r="E19" s="24" t="inlineStr">
        <is>
          <t>Oil starts falling → EXIT TIME</t>
        </is>
      </c>
      <c r="F19" s="24" t="inlineStr">
        <is>
          <t>55%</t>
        </is>
      </c>
      <c r="G19" s="24" t="inlineStr">
        <is>
          <t>🔴 BEGIN PROFIT-TAKING</t>
        </is>
      </c>
    </row>
    <row r="20">
      <c r="A20" s="23" t="inlineStr">
        <is>
          <t>Late Jun</t>
        </is>
      </c>
      <c r="B20" s="23" t="inlineStr">
        <is>
          <t>ALL</t>
        </is>
      </c>
      <c r="C20" s="24" t="inlineStr">
        <is>
          <t>SYSTEMATIC EXIT WINDOW — Ukraine precedent 4-month peak</t>
        </is>
      </c>
      <c r="D20" s="24" t="inlineStr">
        <is>
          <t>Strong exits above all targets</t>
        </is>
      </c>
      <c r="E20" s="24" t="inlineStr">
        <is>
          <t>Oil falls to $70 → emergency exits</t>
        </is>
      </c>
      <c r="F20" s="24" t="inlineStr">
        <is>
          <t>—</t>
        </is>
      </c>
      <c r="G20" s="24" t="inlineStr">
        <is>
          <t>🔴 EXIT by June 28</t>
        </is>
      </c>
    </row>
    <row r="21">
      <c r="A21" s="23" t="inlineStr">
        <is>
          <t>Q3</t>
        </is>
      </c>
      <c r="B21" s="23" t="inlineStr">
        <is>
          <t>EGY</t>
        </is>
      </c>
      <c r="C21" s="24" t="inlineStr">
        <is>
          <t>Kossipo FDP (102 MMBOE at 60% WI)</t>
        </is>
      </c>
      <c r="D21" s="24" t="inlineStr">
        <is>
          <t>Reserve booking → EGY $10+</t>
        </is>
      </c>
      <c r="E21" s="24" t="inlineStr">
        <is>
          <t>FDP delayed to 2027</t>
        </is>
      </c>
      <c r="F21" s="24" t="inlineStr">
        <is>
          <t>65%</t>
        </is>
      </c>
      <c r="G21" s="24" t="inlineStr">
        <is>
          <t>RE-ENTER if held</t>
        </is>
      </c>
    </row>
    <row r="22">
      <c r="A22" s="23" t="inlineStr">
        <is>
          <t>Q3</t>
        </is>
      </c>
      <c r="B22" s="23" t="inlineStr">
        <is>
          <t>AEX</t>
        </is>
      </c>
      <c r="C22" s="24" t="inlineStr">
        <is>
          <t>Ntorya pipeline completion (Jul) + first gas (Sept)</t>
        </is>
      </c>
      <c r="D22" s="24" t="inlineStr">
        <is>
          <t>Revenue transforms thesis → AEX 4p+</t>
        </is>
      </c>
      <c r="E22" s="24" t="inlineStr">
        <is>
          <t>Tanzania delays (again)</t>
        </is>
      </c>
      <c r="F22" s="24" t="inlineStr">
        <is>
          <t>55%</t>
        </is>
      </c>
      <c r="G22" s="24" t="inlineStr">
        <is>
          <t>🟡 MONITOR</t>
        </is>
      </c>
    </row>
    <row r="23">
      <c r="A23" s="23" t="inlineStr">
        <is>
          <t>Q3</t>
        </is>
      </c>
      <c r="B23" s="23" t="inlineStr">
        <is>
          <t>PANR</t>
        </is>
      </c>
      <c r="C23" s="24" t="inlineStr">
        <is>
          <t>Dubhe-1 flow test resumes</t>
        </is>
      </c>
      <c r="D23" s="24" t="inlineStr">
        <is>
          <t>Commercial rates → PANR 20p+</t>
        </is>
      </c>
      <c r="E23" s="24" t="inlineStr">
        <is>
          <t>Disappointing → PANR 5p</t>
        </is>
      </c>
      <c r="F23" s="24" t="inlineStr">
        <is>
          <t>45%</t>
        </is>
      </c>
      <c r="G23" s="24" t="inlineStr">
        <is>
          <t>🟡 HIGH RISK</t>
        </is>
      </c>
    </row>
    <row r="24">
      <c r="A24" s="23" t="inlineStr">
        <is>
          <t>Q3</t>
        </is>
      </c>
      <c r="B24" s="23" t="inlineStr">
        <is>
          <t>BOR</t>
        </is>
      </c>
      <c r="C24" s="24" t="inlineStr">
        <is>
          <t>Development partner announcement (make-or-break)</t>
        </is>
      </c>
      <c r="D24" s="24" t="inlineStr">
        <is>
          <t>Partner → BOR 25-80p (2.5-8x)</t>
        </is>
      </c>
      <c r="E24" s="24" t="inlineStr">
        <is>
          <t>No partner → cash crunch</t>
        </is>
      </c>
      <c r="F24" s="24" t="inlineStr">
        <is>
          <t>35%</t>
        </is>
      </c>
      <c r="G24" s="24" t="inlineStr">
        <is>
          <t>🎯 BINARY — size accordingly</t>
        </is>
      </c>
    </row>
    <row r="25">
      <c r="A25" s="23" t="inlineStr">
        <is>
          <t>Q4</t>
        </is>
      </c>
      <c r="B25" s="23" t="inlineStr">
        <is>
          <t>AET</t>
        </is>
      </c>
      <c r="C25" s="24" t="inlineStr">
        <is>
          <t>Block 3/24 FID + production uplift from drilling</t>
        </is>
      </c>
      <c r="D25" s="24" t="inlineStr">
        <is>
          <t>Growth trajectory confirmed</t>
        </is>
      </c>
      <c r="E25" s="24" t="inlineStr">
        <is>
          <t>Delays push to 2027</t>
        </is>
      </c>
      <c r="F25" s="24" t="inlineStr">
        <is>
          <t>55%</t>
        </is>
      </c>
      <c r="G25" s="24" t="inlineStr">
        <is>
          <t>LONG-TERM HOLD</t>
        </is>
      </c>
    </row>
    <row r="26">
      <c r="A26" s="23" t="inlineStr">
        <is>
          <t>Q4</t>
        </is>
      </c>
      <c r="B26" s="23" t="inlineStr">
        <is>
          <t>SQZ/ENQ</t>
        </is>
      </c>
      <c r="C26" s="24" t="inlineStr">
        <is>
          <t>Serica-EnQuest merger completion</t>
        </is>
      </c>
      <c r="D26" s="24" t="inlineStr">
        <is>
          <t>Combined entity re-rates</t>
        </is>
      </c>
      <c r="E26" s="24" t="inlineStr">
        <is>
          <t>Deal collapses</t>
        </is>
      </c>
      <c r="F26" s="24" t="inlineStr">
        <is>
          <t>50%</t>
        </is>
      </c>
      <c r="G26" s="24" t="inlineStr">
        <is>
          <t>🟡 MONITOR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6" customWidth="1" min="3" max="3"/>
    <col width="40" customWidth="1" min="4" max="4"/>
    <col width="12" customWidth="1" min="5" max="5"/>
    <col width="14" customWidth="1" min="6" max="6"/>
    <col width="22" customWidth="1" min="7" max="7"/>
    <col width="9" customWidth="1" min="8" max="8"/>
  </cols>
  <sheetData>
    <row r="1">
      <c r="A1" s="1" t="inlineStr">
        <is>
          <t>REVISED TOP 10 — 3-Month Window (March–June 2026) | Maximum Short-Term Profit</t>
        </is>
      </c>
    </row>
    <row r="3">
      <c r="A3" s="3" t="inlineStr">
        <is>
          <t>Rank</t>
        </is>
      </c>
      <c r="B3" s="3" t="inlineStr">
        <is>
          <t>Ticker</t>
        </is>
      </c>
      <c r="C3" s="3" t="inlineStr">
        <is>
          <t>Company</t>
        </is>
      </c>
      <c r="D3" s="3" t="inlineStr">
        <is>
          <t>Why #1-10</t>
        </is>
      </c>
      <c r="E3" s="3" t="inlineStr">
        <is>
          <t>3-Month Target</t>
        </is>
      </c>
      <c r="F3" s="3" t="inlineStr">
        <is>
          <t>Bear/Base/Bull</t>
        </is>
      </c>
      <c r="G3" s="3" t="inlineStr">
        <is>
          <t>Crude Quality Edge</t>
        </is>
      </c>
      <c r="H3" s="3" t="inlineStr">
        <is>
          <t>£ Allocation</t>
        </is>
      </c>
    </row>
    <row r="4">
      <c r="A4" s="23" t="n">
        <v>1</v>
      </c>
      <c r="B4" s="23" t="inlineStr">
        <is>
          <t>AET</t>
        </is>
      </c>
      <c r="C4" s="23" t="inlineStr">
        <is>
          <t>Afentra</t>
        </is>
      </c>
      <c r="D4" s="24" t="inlineStr">
        <is>
          <t>Takeover bid + oil spike double catalyst. Jefferies running formal sale process. Highest conviction, lowest risk.</t>
        </is>
      </c>
      <c r="E4" s="24" t="inlineStr">
        <is>
          <t>100-120p from 72p</t>
        </is>
      </c>
      <c r="F4" s="24" t="inlineStr">
        <is>
          <t>1.3x / 2.0x / 3.0x</t>
        </is>
      </c>
      <c r="G4" s="24" t="inlineStr">
        <is>
          <t>Angola light-med sweet. China's #1 Gulf replacement.</t>
        </is>
      </c>
      <c r="H4" s="24" t="n">
        <v>1400</v>
      </c>
    </row>
    <row r="5">
      <c r="A5" s="23" t="n">
        <v>2</v>
      </c>
      <c r="B5" s="23" t="inlineStr">
        <is>
          <t>IMPP</t>
        </is>
      </c>
      <c r="C5" s="23" t="inlineStr">
        <is>
          <t>Imperial Petroleum</t>
        </is>
      </c>
      <c r="D5" s="24" t="inlineStr">
        <is>
          <t>4x earnings, 77% below NAV, $179M cash, zero debt. Hormuz freight at peak. Active buyback.</t>
        </is>
      </c>
      <c r="E5" s="24" t="inlineStr">
        <is>
          <t>$8-12 from $4.10</t>
        </is>
      </c>
      <c r="F5" s="24" t="inlineStr">
        <is>
          <t>1.5x / 2.5x / 4.0x</t>
        </is>
      </c>
      <c r="G5" s="24" t="inlineStr">
        <is>
          <t>Shipping — rate-driven. Agnostic to crude quality.</t>
        </is>
      </c>
      <c r="H5" s="24" t="n">
        <v>1200</v>
      </c>
    </row>
    <row r="6">
      <c r="A6" s="23" t="n">
        <v>3</v>
      </c>
      <c r="B6" s="23" t="inlineStr">
        <is>
          <t>KOS</t>
        </is>
      </c>
      <c r="C6" s="23" t="inlineStr">
        <is>
          <t>Kosmos Energy</t>
        </is>
      </c>
      <c r="D6" s="24" t="inlineStr">
        <is>
          <t>GTA LNG arriving as Qatar offline. Jubilee 37° API premium. FCF inflection in 2026.</t>
        </is>
      </c>
      <c r="E6" s="24" t="inlineStr">
        <is>
          <t>$5-8 from $2.40</t>
        </is>
      </c>
      <c r="F6" s="24" t="inlineStr">
        <is>
          <t>1.3x / 2.5x / 3.5x</t>
        </is>
      </c>
      <c r="G6" s="24" t="inlineStr">
        <is>
          <t>Jubilee = premium light sweet + GTA LNG into crisis.</t>
        </is>
      </c>
      <c r="H6" s="24" t="n">
        <v>700</v>
      </c>
    </row>
    <row r="7">
      <c r="A7" s="23" t="n">
        <v>4</v>
      </c>
      <c r="B7" s="23" t="inlineStr">
        <is>
          <t>EGY</t>
        </is>
      </c>
      <c r="C7" s="23" t="inlineStr">
        <is>
          <t>VAALCO Energy</t>
        </is>
      </c>
      <c r="D7" s="24" t="inlineStr">
        <is>
          <t>2.8x EV/EBITDA. Gabon drilling NOW. Kossipo FDP H2. Named top 5 Hormuz stock.</t>
        </is>
      </c>
      <c r="E7" s="24" t="inlineStr">
        <is>
          <t>$10-15 from $6.25</t>
        </is>
      </c>
      <c r="F7" s="24" t="inlineStr">
        <is>
          <t>1.3x / 2.0x / 3.0x</t>
        </is>
      </c>
      <c r="G7" s="24" t="inlineStr">
        <is>
          <t>Gabonese light sweet. All assets outside Hormuz.</t>
        </is>
      </c>
      <c r="H7" s="24" t="n">
        <v>600</v>
      </c>
    </row>
    <row r="8">
      <c r="A8" s="23" t="n">
        <v>5</v>
      </c>
      <c r="B8" s="23" t="inlineStr">
        <is>
          <t>JSE</t>
        </is>
      </c>
      <c r="C8" s="23" t="inlineStr">
        <is>
          <t>Jadestone Energy</t>
        </is>
      </c>
      <c r="D8" s="24" t="inlineStr">
        <is>
          <t>47° API condensate — $10+ Asian premium. Vietnam FDP + Malaysia drilling Q2. 93% to analyst target.</t>
        </is>
      </c>
      <c r="E8" s="24" t="inlineStr">
        <is>
          <t>45-54p from 28p</t>
        </is>
      </c>
      <c r="F8" s="24" t="inlineStr">
        <is>
          <t>1.0x / 1.7x / 2.5x</t>
        </is>
      </c>
      <c r="G8" s="24" t="inlineStr">
        <is>
          <t>HIGHEST API — condensate trades at massive premium in Asia.</t>
        </is>
      </c>
      <c r="H8" s="24" t="n">
        <v>500</v>
      </c>
    </row>
    <row r="9">
      <c r="A9" s="23" t="n">
        <v>6</v>
      </c>
      <c r="B9" s="23" t="inlineStr">
        <is>
          <t>GKP</t>
        </is>
      </c>
      <c r="C9" s="23" t="inlineStr">
        <is>
          <t>Gulf Keystone</t>
        </is>
      </c>
      <c r="D9" s="24" t="inlineStr">
        <is>
          <t>Dividend Apr 27. AIM 100 rebalance Apr 4. Ceyhan = only Med export route. BINARY but asymmetric.</t>
        </is>
      </c>
      <c r="E9" s="24" t="inlineStr">
        <is>
          <t>300-360p from 204p</t>
        </is>
      </c>
      <c r="F9" s="24" t="inlineStr">
        <is>
          <t>0.5x / 1.8x / 3.5x</t>
        </is>
      </c>
      <c r="G9" s="24" t="inlineStr">
        <is>
          <t>Shaikan light sweet via Ceyhan. Med refiners' only option.</t>
        </is>
      </c>
      <c r="H9" s="24" t="n">
        <v>400</v>
      </c>
    </row>
    <row r="10">
      <c r="A10" s="23" t="n">
        <v>7</v>
      </c>
      <c r="B10" s="23" t="inlineStr">
        <is>
          <t>FRO</t>
        </is>
      </c>
      <c r="C10" s="23" t="inlineStr">
        <is>
          <t>Frontline</t>
        </is>
      </c>
      <c r="D10" s="24" t="inlineStr">
        <is>
          <t>Q1 VLCC $107k/day. 81 vessels. +62% YTD. Analyst targets pre-Hormuz. $1.03 quarterly div.</t>
        </is>
      </c>
      <c r="E10" s="24" t="inlineStr">
        <is>
          <t>$42-55 from $33.78</t>
        </is>
      </c>
      <c r="F10" s="24" t="inlineStr">
        <is>
          <t>0.8x / 1.5x / 2.5x</t>
        </is>
      </c>
      <c r="G10" s="24" t="inlineStr">
        <is>
          <t>Shipping — purest large-cap Hormuz play. VLCC rate leverage.</t>
        </is>
      </c>
      <c r="H10" s="24" t="n">
        <v>500</v>
      </c>
    </row>
    <row r="11">
      <c r="A11" s="23" t="n">
        <v>8</v>
      </c>
      <c r="B11" s="23" t="inlineStr">
        <is>
          <t>AXL</t>
        </is>
      </c>
      <c r="C11" s="23" t="inlineStr">
        <is>
          <t>Arrow Exploration</t>
        </is>
      </c>
      <c r="D11" s="24" t="inlineStr">
        <is>
          <t>40 wells, 1 dry hole. 0.35x NPV. $3M/month FCF. Icaco exploration Apr. Analyst target 31.6p.</t>
        </is>
      </c>
      <c r="E11" s="24" t="inlineStr">
        <is>
          <t>28-40p from 16p</t>
        </is>
      </c>
      <c r="F11" s="24" t="inlineStr">
        <is>
          <t>1.2x / 2.0x / 3.5x</t>
        </is>
      </c>
      <c r="G11" s="24" t="inlineStr">
        <is>
          <t>Colombian light sweet at $90+ Brent. Proven drill machine.</t>
        </is>
      </c>
      <c r="H11" s="24" t="n">
        <v>500</v>
      </c>
    </row>
    <row r="12">
      <c r="A12" s="23" t="n">
        <v>9</v>
      </c>
      <c r="B12" s="23" t="inlineStr">
        <is>
          <t>SEPL</t>
        </is>
      </c>
      <c r="C12" s="23" t="inlineStr">
        <is>
          <t>Seplat Energy</t>
        </is>
      </c>
      <c r="D12" s="24" t="inlineStr">
        <is>
          <t>Bonny Light = world's most premium crude. $2.7B revenue. ANOH gas ramp. 131k boepd.</t>
        </is>
      </c>
      <c r="E12" s="24" t="inlineStr">
        <is>
          <t>600-750p from 456p</t>
        </is>
      </c>
      <c r="F12" s="24" t="inlineStr">
        <is>
          <t>1.1x / 1.4x / 1.8x</t>
        </is>
      </c>
      <c r="G12" s="24" t="inlineStr">
        <is>
          <t>BONNY LIGHT — highest Brent premium (+$2-5). Global benchmark.</t>
        </is>
      </c>
      <c r="H12" s="24" t="n">
        <v>400</v>
      </c>
    </row>
    <row r="13">
      <c r="A13" s="23" t="n">
        <v>10</v>
      </c>
      <c r="B13" s="23" t="inlineStr">
        <is>
          <t>HBR</t>
        </is>
      </c>
      <c r="C13" s="23" t="inlineStr">
        <is>
          <t>Harbour Energy</t>
        </is>
      </c>
      <c r="D13" s="24" t="inlineStr">
        <is>
          <t>Johan Sverdrup at $124/bbl implied (+$11.30 premium). 474k boepd. $7.1B EBITDAX. LLOG acquisition.</t>
        </is>
      </c>
      <c r="E13" s="24" t="inlineStr">
        <is>
          <t>400-500p from 300p</t>
        </is>
      </c>
      <c r="F13" s="24" t="inlineStr">
        <is>
          <t>1.0x / 1.4x / 1.8x</t>
        </is>
      </c>
      <c r="G13" s="24" t="inlineStr">
        <is>
          <t>MEDIUM SOUR — currently highest $/bbl on planet at $124 implied.</t>
        </is>
      </c>
      <c r="H13" s="24" t="n">
        <v>300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2026-03-26T13:44:37Z</dcterms:created>
  <dcterms:modified xmlns:dcterms="http://purl.org/dc/terms/" xmlns:xsi="http://www.w3.org/2001/XMLSchema-instance" xsi:type="dcterms:W3CDTF">2026-03-26T13:44:37Z</dcterms:modified>
</cp:coreProperties>
</file>