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BRID ALLOCATION" sheetId="1" state="visible" r:id="rId3"/>
    <sheet name="SCENARIOS" sheetId="2" state="visible" r:id="rId4"/>
    <sheet name="CATALYST TIMELINE" sheetId="3" state="visible" r:id="rId5"/>
    <sheet name="CASH DEPLOYMENT" sheetId="4" state="visible" r:id="rId6"/>
    <sheet name="EXECUTION CHECKLIST" sheetId="5" state="visible" r:id="rId7"/>
    <sheet name="FINAL PORTFOLIO" sheetId="6" state="visible" r:id="rId8"/>
    <sheet name="Q3-Q4 RE-ENTRY PL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<sst xmlns="http://schemas.openxmlformats.org/spreadsheetml/2006/main" count="1382" uniqueCount="862">
  <si>
    <t xml:space="preserve">DNA ENTERTAINMENT — HYBRID ENERGY &amp; INDEPENDENCE MATRIX | Post-Ceasefire Restructured</t>
  </si>
  <si>
    <t xml:space="preserve">£7,000 fund | 16 positions across 4 engines: Oil &amp; Gas, UK Clean Energy, Defence, Precious Metals | Updated April 11 2026</t>
  </si>
  <si>
    <t xml:space="preserve">⚠️ Speculative analysis. Not financial advice. Ceasefire fragile — strait still effectively closed. Islamabad talks ongoing. Consult a qualified advisor.</t>
  </si>
  <si>
    <t xml:space="preserve">ENGINE 1: OIL &amp; GAS — Non-Gulf Producers + UK Domestic (50% of fund)</t>
  </si>
  <si>
    <t xml:space="preserve">Status</t>
  </si>
  <si>
    <t xml:space="preserve">Ticker</t>
  </si>
  <si>
    <t xml:space="preserve">Company</t>
  </si>
  <si>
    <t xml:space="preserve">Engine</t>
  </si>
  <si>
    <t xml:space="preserve">£ Alloc</t>
  </si>
  <si>
    <t xml:space="preserve">Entry</t>
  </si>
  <si>
    <t xml:space="preserve">Hard Stop</t>
  </si>
  <si>
    <t xml:space="preserve">Squeeze
Prob
(Pre-CF)</t>
  </si>
  <si>
    <t xml:space="preserve">Squeeze
Prob
(Post-CF)</t>
  </si>
  <si>
    <t xml:space="preserve">Change</t>
  </si>
  <si>
    <t xml:space="preserve">Catalyst 1</t>
  </si>
  <si>
    <t xml:space="preserve">Prob</t>
  </si>
  <si>
    <t xml:space="preserve">Catalyst 2</t>
  </si>
  <si>
    <t xml:space="preserve">Ceasefire Impact</t>
  </si>
  <si>
    <t xml:space="preserve">Action</t>
  </si>
  <si>
    <t xml:space="preserve">HOLD</t>
  </si>
  <si>
    <t xml:space="preserve">AET</t>
  </si>
  <si>
    <t xml:space="preserve">Afentra</t>
  </si>
  <si>
    <t xml:space="preserve">Oil-Angola</t>
  </si>
  <si>
    <t xml:space="preserve">72p</t>
  </si>
  <si>
    <t xml:space="preserve">58p</t>
  </si>
  <si>
    <t xml:space="preserve">MED-HIGH</t>
  </si>
  <si>
    <t xml:space="preserve">=</t>
  </si>
  <si>
    <t xml:space="preserve">Rule 2.7 bid (Jefferies). Pacassa SW spudded NOW</t>
  </si>
  <si>
    <t xml:space="preserve">Impala-2 well follows immediately. Sonangol-funded</t>
  </si>
  <si>
    <t xml:space="preserve">IMMUNE — M&amp;A not oil-price dependent</t>
  </si>
  <si>
    <t xml:space="preserve">STRONG BUY — ANCHOR</t>
  </si>
  <si>
    <t xml:space="preserve">GKP</t>
  </si>
  <si>
    <t xml:space="preserve">Gulf Keystone</t>
  </si>
  <si>
    <t xml:space="preserve">Oil-Kurdistan</t>
  </si>
  <si>
    <t xml:space="preserve">204p</t>
  </si>
  <si>
    <t xml:space="preserve">165p</t>
  </si>
  <si>
    <t xml:space="preserve">HIGH</t>
  </si>
  <si>
    <t xml:space="preserve">↑ UP</t>
  </si>
  <si>
    <t xml:space="preserve">Restart CONFIRMED. Div record Apr 10 CAPTURED</t>
  </si>
  <si>
    <t xml:space="preserve">Intl pricing review — ceasefire HELPS negotiations</t>
  </si>
  <si>
    <t xml:space="preserve">BENEFITS — Iran risk vanishes. Exports easier</t>
  </si>
  <si>
    <t xml:space="preserve">BUY — CEASEFIRE WINNER</t>
  </si>
  <si>
    <t xml:space="preserve">KOS</t>
  </si>
  <si>
    <t xml:space="preserve">Kosmos Energy</t>
  </si>
  <si>
    <t xml:space="preserve">Oil-Atlantic LNG</t>
  </si>
  <si>
    <t xml:space="preserve">$2.40</t>
  </si>
  <si>
    <t xml:space="preserve">$1.60</t>
  </si>
  <si>
    <t xml:space="preserve">MED</t>
  </si>
  <si>
    <t xml:space="preserve">↓</t>
  </si>
  <si>
    <t xml:space="preserve">GTA LNG cargoes + Johnson Rice BUY $4.25</t>
  </si>
  <si>
    <t xml:space="preserve">Earnings May 12. EQ Guinea sale $180M+</t>
  </si>
  <si>
    <t xml:space="preserve">MILD NEG — LNG premium narrows slightly</t>
  </si>
  <si>
    <t xml:space="preserve">HOLD for May 12 earnings</t>
  </si>
  <si>
    <t xml:space="preserve">JSE</t>
  </si>
  <si>
    <t xml:space="preserve">Jadestone Energy</t>
  </si>
  <si>
    <t xml:space="preserve">Oil-Asia</t>
  </si>
  <si>
    <t xml:space="preserve">28p</t>
  </si>
  <si>
    <t xml:space="preserve">20p</t>
  </si>
  <si>
    <t xml:space="preserve">Vietnam FDP CONFIRMED Mar 18. 32 MMboe booked</t>
  </si>
  <si>
    <t xml:space="preserve">PM323 Malaysia infill drilling Q2</t>
  </si>
  <si>
    <t xml:space="preserve">NEUTRAL — Asian demand structural</t>
  </si>
  <si>
    <t xml:space="preserve">HOLD — catalyst confirmed</t>
  </si>
  <si>
    <t xml:space="preserve">NEW</t>
  </si>
  <si>
    <t xml:space="preserve">SQZ</t>
  </si>
  <si>
    <t xml:space="preserve">Serica Energy</t>
  </si>
  <si>
    <t xml:space="preserve">Oil-UK North Sea</t>
  </si>
  <si>
    <t xml:space="preserve">292p</t>
  </si>
  <si>
    <t xml:space="preserve">220p</t>
  </si>
  <si>
    <t xml:space="preserve">ENQ merger talks. UK independence leader</t>
  </si>
  <si>
    <t xml:space="preserve">Moving AIM→LSE main market Q3. 13% dividend</t>
  </si>
  <si>
    <t xml:space="preserve">BENEFITS — domestic production narrative</t>
  </si>
  <si>
    <t xml:space="preserve">BUY — UK INDEPENDENCE</t>
  </si>
  <si>
    <t xml:space="preserve">SMALL</t>
  </si>
  <si>
    <t xml:space="preserve">HBR</t>
  </si>
  <si>
    <t xml:space="preserve">Harbour Energy</t>
  </si>
  <si>
    <t xml:space="preserve">Oil-Norway/UK</t>
  </si>
  <si>
    <t xml:space="preserve">300p</t>
  </si>
  <si>
    <t xml:space="preserve">240p</t>
  </si>
  <si>
    <t xml:space="preserve">LOW-MED</t>
  </si>
  <si>
    <t xml:space="preserve">LLOG acquisition. Sverdrup +$11.30 premium</t>
  </si>
  <si>
    <t xml:space="preserve">Norway/UK gas at elevated prices</t>
  </si>
  <si>
    <t xml:space="preserve">NEUTRAL — diversified global</t>
  </si>
  <si>
    <t xml:space="preserve">HOLD — income anchor</t>
  </si>
  <si>
    <t xml:space="preserve">WATCH</t>
  </si>
  <si>
    <t xml:space="preserve">IMPP</t>
  </si>
  <si>
    <t xml:space="preserve">Imperial Petroleum</t>
  </si>
  <si>
    <t xml:space="preserve">Shipping</t>
  </si>
  <si>
    <t xml:space="preserve">—</t>
  </si>
  <si>
    <t xml:space="preserve">$2.80</t>
  </si>
  <si>
    <t xml:space="preserve">↓↓</t>
  </si>
  <si>
    <t xml:space="preserve">Q1 earnings May 22 (peak freight captured)</t>
  </si>
  <si>
    <t xml:space="preserve">Fleet 26 vessels. $227M cash. Below NAV</t>
  </si>
  <si>
    <t xml:space="preserve">NEGATIVE — rates collapse if strait opens</t>
  </si>
  <si>
    <t xml:space="preserve">RE-ENTER if ceasefire collapses</t>
  </si>
  <si>
    <t xml:space="preserve">FRO</t>
  </si>
  <si>
    <t xml:space="preserve">Frontline</t>
  </si>
  <si>
    <t xml:space="preserve">$25</t>
  </si>
  <si>
    <t xml:space="preserve">LOW</t>
  </si>
  <si>
    <t xml:space="preserve">↓↓↓</t>
  </si>
  <si>
    <t xml:space="preserve">Q1 earnings May (VLCC $107k captured)</t>
  </si>
  <si>
    <t xml:space="preserve">12% variable dividend at peak rates</t>
  </si>
  <si>
    <t xml:space="preserve">THESIS DEAD if strait opens</t>
  </si>
  <si>
    <t xml:space="preserve">RE-ENTER only if war resumes</t>
  </si>
  <si>
    <t xml:space="preserve">PXEN</t>
  </si>
  <si>
    <t xml:space="preserve">Prospex Energy</t>
  </si>
  <si>
    <t xml:space="preserve">EU Gas</t>
  </si>
  <si>
    <t xml:space="preserve">3.0p</t>
  </si>
  <si>
    <t xml:space="preserve">El Romeral permits Q2 (EIA cleared 0 objections)</t>
  </si>
  <si>
    <t xml:space="preserve">EU gas premium. TTF elevated</t>
  </si>
  <si>
    <t xml:space="preserve">NEGATIVE — Qatar LNG unblocked</t>
  </si>
  <si>
    <t xml:space="preserve">BOR</t>
  </si>
  <si>
    <t xml:space="preserve">Borders &amp; Southern</t>
  </si>
  <si>
    <t xml:space="preserve">Oil-Falklands</t>
  </si>
  <si>
    <t xml:space="preserve">5p</t>
  </si>
  <si>
    <t xml:space="preserve">Partner farm-out discussions. Licence Dec 2026</t>
  </si>
  <si>
    <t xml:space="preserve">Sea Lion FID de-risks Falklands jurisdiction</t>
  </si>
  <si>
    <t xml:space="preserve">MILD NEG — safe haven urgency fades</t>
  </si>
  <si>
    <t xml:space="preserve">RE-ENTER if talks fail + oil spikes</t>
  </si>
  <si>
    <t xml:space="preserve">RKH</t>
  </si>
  <si>
    <t xml:space="preserve">Rockhopper</t>
  </si>
  <si>
    <t xml:space="preserve">55p</t>
  </si>
  <si>
    <t xml:space="preserve">Sea Lion Phase 1 engineering advancing</t>
  </si>
  <si>
    <t xml:space="preserve">Navitas milestones + FPSO contracts</t>
  </si>
  <si>
    <t xml:space="preserve">MILD NEG — Falklands premium fades</t>
  </si>
  <si>
    <t xml:space="preserve">RE-ENTER on development news</t>
  </si>
  <si>
    <t xml:space="preserve">ENGINE 2: UK CLEAN ENERGY &amp; INDEPENDENCE (13% of fund)</t>
  </si>
  <si>
    <t xml:space="preserve">RR.</t>
  </si>
  <si>
    <t xml:space="preserve">Rolls-Royce</t>
  </si>
  <si>
    <t xml:space="preserve">Nuclear-SMR</t>
  </si>
  <si>
    <t xml:space="preserve">£6+</t>
  </si>
  <si>
    <t xml:space="preserve">£4.50</t>
  </si>
  <si>
    <t xml:space="preserve">N/A</t>
  </si>
  <si>
    <t xml:space="preserve">UK SMR programme — government flagship. +25% YTD</t>
  </si>
  <si>
    <t xml:space="preserve">Defence engines. Dual revenue stream</t>
  </si>
  <si>
    <t xml:space="preserve">STRONG BENEFIT — nuclear = never again</t>
  </si>
  <si>
    <t xml:space="preserve">BUY — UK NUCLEAR</t>
  </si>
  <si>
    <t xml:space="preserve">YCA</t>
  </si>
  <si>
    <t xml:space="preserve">Yellow Cake</t>
  </si>
  <si>
    <t xml:space="preserve">Uranium</t>
  </si>
  <si>
    <t xml:space="preserve">Physical uranium. Supply deficit structural</t>
  </si>
  <si>
    <t xml:space="preserve">SMR demand = uranium demand. AI data centres</t>
  </si>
  <si>
    <t xml:space="preserve">IMMUNE — nothing to do with oil</t>
  </si>
  <si>
    <t xml:space="preserve">NG.</t>
  </si>
  <si>
    <t xml:space="preserve">National Grid</t>
  </si>
  <si>
    <t xml:space="preserve">Grid Infra</t>
  </si>
  <si>
    <t xml:space="preserve">£10+</t>
  </si>
  <si>
    <t xml:space="preserve">£8.50</t>
  </si>
  <si>
    <t xml:space="preserve">Owns UK electricity transmission. £60B investment plan</t>
  </si>
  <si>
    <t xml:space="preserve">Every renewable connects through NG. 5% dividend</t>
  </si>
  <si>
    <t xml:space="preserve">STRONG BENEFIT — all energy connects here</t>
  </si>
  <si>
    <t xml:space="preserve">BUY — INFRASTRUCTURE</t>
  </si>
  <si>
    <t xml:space="preserve">SSE</t>
  </si>
  <si>
    <t xml:space="preserve">SSE plc</t>
  </si>
  <si>
    <t xml:space="preserve">Wind</t>
  </si>
  <si>
    <t xml:space="preserve">£17+</t>
  </si>
  <si>
    <t xml:space="preserve">£14</t>
  </si>
  <si>
    <t xml:space="preserve">UK's largest renewable developer. Offshore wind leader</t>
  </si>
  <si>
    <t xml:space="preserve">Government targeting 50GW offshore wind by 2030. 8% div</t>
  </si>
  <si>
    <t xml:space="preserve">STRONG BENEFIT — clean power acceleration</t>
  </si>
  <si>
    <t xml:space="preserve">BUY — WIND</t>
  </si>
  <si>
    <t xml:space="preserve">ITM</t>
  </si>
  <si>
    <t xml:space="preserve">ITM Power</t>
  </si>
  <si>
    <t xml:space="preserve">Hydrogen</t>
  </si>
  <si>
    <t xml:space="preserve">~45p</t>
  </si>
  <si>
    <t xml:space="preserve">25p</t>
  </si>
  <si>
    <t xml:space="preserve">UK's first LSE-listed hydrogen company. PEM electrolysers</t>
  </si>
  <si>
    <t xml:space="preserve">Government targeting 10GW hydrogen by 2030</t>
  </si>
  <si>
    <t xml:space="preserve">BENEFIT — hydrogen = gas independence</t>
  </si>
  <si>
    <t xml:space="preserve">SPEC BUY — HIGH RISK</t>
  </si>
  <si>
    <t xml:space="preserve">ENGINE 3: DEFENCE + PRECIOUS METALS (10% of fund)</t>
  </si>
  <si>
    <t xml:space="preserve">BA.</t>
  </si>
  <si>
    <t xml:space="preserve">BAE Systems</t>
  </si>
  <si>
    <t xml:space="preserve">Defence</t>
  </si>
  <si>
    <t xml:space="preserve">£22.70</t>
  </si>
  <si>
    <t xml:space="preserve">£18</t>
  </si>
  <si>
    <t xml:space="preserve">NATO spending 5% GDP by 2035 = £423B additional/yr</t>
  </si>
  <si>
    <t xml:space="preserve">Record backlog £83.6B. +57% over 12 months</t>
  </si>
  <si>
    <t xml:space="preserve">WINS BOTH WAYS — war or peace</t>
  </si>
  <si>
    <t xml:space="preserve">HOLD — DECADE PLAY</t>
  </si>
  <si>
    <t xml:space="preserve">FRES</t>
  </si>
  <si>
    <t xml:space="preserve">Fresnillo</t>
  </si>
  <si>
    <t xml:space="preserve">Gold/Silver</t>
  </si>
  <si>
    <t xml:space="preserve">varies</t>
  </si>
  <si>
    <t xml:space="preserve">World's largest silver producer. Gold at record highs</t>
  </si>
  <si>
    <t xml:space="preserve">Central bank buying structural. Safe haven demand</t>
  </si>
  <si>
    <t xml:space="preserve">BENEFITS — uncertainty = gold positive</t>
  </si>
  <si>
    <t xml:space="preserve">HOLD — HEDGE</t>
  </si>
  <si>
    <t xml:space="preserve">ENGINE 4: CASH RESERVE + RE-ENTRY RULES (11% of fund)</t>
  </si>
  <si>
    <t xml:space="preserve">CASH</t>
  </si>
  <si>
    <t xml:space="preserve">Dry Powder Reserve</t>
  </si>
  <si>
    <t xml:space="preserve">Reserve</t>
  </si>
  <si>
    <t xml:space="preserve">Ceasefire collapses → deploy into IMPP (£250) + FRO (£200) + PXEN (£150) + BOR (£150)</t>
  </si>
  <si>
    <t xml:space="preserve">Ceasefire holds → add to RR. (£200) + SQZ (£200) + SSE (£150) + NG. (£200)</t>
  </si>
  <si>
    <t xml:space="preserve">BOTH SCENARIOS COVERED</t>
  </si>
  <si>
    <t xml:space="preserve">HOLD — DON'T RUSH</t>
  </si>
  <si>
    <t xml:space="preserve">TOTAL DEPLOYED</t>
  </si>
  <si>
    <t xml:space="preserve">CASH RESERVE</t>
  </si>
  <si>
    <t xml:space="preserve">TOTAL FUND</t>
  </si>
  <si>
    <t xml:space="preserve">HYBRID PORTFOLIO — 4 SCENARIO ANALYSIS</t>
  </si>
  <si>
    <t xml:space="preserve">Accounts for ceasefire impact on squeeze stocks AND structural growth in clean energy positions</t>
  </si>
  <si>
    <t xml:space="preserve">£ Invested</t>
  </si>
  <si>
    <t xml:space="preserve">BEAR
(Peace deal
Oil $70)</t>
  </si>
  <si>
    <t xml:space="preserve">BASE
(Fragile peace
Oil $85-95)</t>
  </si>
  <si>
    <t xml:space="preserve">BULL
(CF collapses
Oil $110+)</t>
  </si>
  <si>
    <t xml:space="preserve">MOONSHOT
(War resumes
$130+)</t>
  </si>
  <si>
    <t xml:space="preserve">BEAR £</t>
  </si>
  <si>
    <t xml:space="preserve">BASE £</t>
  </si>
  <si>
    <t xml:space="preserve">BULL £</t>
  </si>
  <si>
    <t xml:space="preserve">MOON £</t>
  </si>
  <si>
    <t xml:space="preserve">Oil-Atlantic</t>
  </si>
  <si>
    <t xml:space="preserve">Jadestone</t>
  </si>
  <si>
    <t xml:space="preserve">Cash</t>
  </si>
  <si>
    <t xml:space="preserve">PORTFOLIO TOTAL</t>
  </si>
  <si>
    <t xml:space="preserve">PROFIT / LOSS</t>
  </si>
  <si>
    <t xml:space="preserve">RETURN %</t>
  </si>
  <si>
    <t xml:space="preserve">BEAR (Peace deal, Oil $70) (Probability: 35-40%) — Permanent ceasefire. Strait fully reopens. Oil normalises to $70-75. Oil stocks retrace. Clean energy + defence + gold hold value. Portfolio protected by diversification.</t>
  </si>
  <si>
    <t xml:space="preserve">BASE (Fragile peace, Oil $85-95) (Probability: 40-45%) — Ceasefire holds loosely. Strait partially open. Oil stays $85-95. Company catalysts fire (AET bid, GKP intl pricing, KOS earnings). Clean energy benefits from policy shift.</t>
  </si>
  <si>
    <t xml:space="preserve">BULL (Ceasefire collapses, Oil $110+) (Probability: 15-20%) — Islamabad talks fail. War resumes. Oil spikes to $110+. Re-enter IMPP/FRO/PXEN/BOR from cash reserve. All 4 engines firing. Original squeeze thesis returns.</t>
  </si>
  <si>
    <t xml:space="preserve">MOONSHOT (Full war, Oil $130+) (Probability: 5-8%) — Prolonged conflict. Strait closed months. Oil $130+. IMPP squeezes. AET bid at peak premium. GKP international pricing at $130. Clean energy spending accelerates dramatically.</t>
  </si>
  <si>
    <t xml:space="preserve">HYBRID CATALYST TIMELINE — April–December 2026</t>
  </si>
  <si>
    <t xml:space="preserve">Date</t>
  </si>
  <si>
    <t xml:space="preserve">Event</t>
  </si>
  <si>
    <t xml:space="preserve">Bull Outcome</t>
  </si>
  <si>
    <t xml:space="preserve">Bear Outcome</t>
  </si>
  <si>
    <t xml:space="preserve">Cash Rule</t>
  </si>
  <si>
    <t xml:space="preserve">Apr 11-12</t>
  </si>
  <si>
    <t xml:space="preserve">OIL</t>
  </si>
  <si>
    <t xml:space="preserve">ALL</t>
  </si>
  <si>
    <t xml:space="preserve">ISLAMABAD TALKS — Vance/Witkoff/Kushner vs Iran</t>
  </si>
  <si>
    <t xml:space="preserve">Talks fail → oil $110+ → RE-ENTER shipping</t>
  </si>
  <si>
    <t xml:space="preserve">Deal progresses → oil $80 → hold course</t>
  </si>
  <si>
    <t xml:space="preserve">40%</t>
  </si>
  <si>
    <t xml:space="preserve">🔴 WATCH WEEKEND</t>
  </si>
  <si>
    <t xml:space="preserve">If fail: deploy £600 into IMPP+FRO+PXEN+BOR</t>
  </si>
  <si>
    <t xml:space="preserve">Apr 11</t>
  </si>
  <si>
    <t xml:space="preserve">Pacassa SW drilling — results could drop ANY day</t>
  </si>
  <si>
    <t xml:space="preserve">Discovery → 100p+ → bid premium increases</t>
  </si>
  <si>
    <t xml:space="preserve">Dry hole → 70p → bid still possible</t>
  </si>
  <si>
    <t xml:space="preserve">70%</t>
  </si>
  <si>
    <t xml:space="preserve">🎯 WATCH 7AM RNS</t>
  </si>
  <si>
    <t xml:space="preserve">Hold. Results inform bid price</t>
  </si>
  <si>
    <t xml:space="preserve">Apr 22</t>
  </si>
  <si>
    <t xml:space="preserve">MACRO</t>
  </si>
  <si>
    <t xml:space="preserve">Ceasefire 2-week expiry. Renewed or collapsed?</t>
  </si>
  <si>
    <t xml:space="preserve">Collapses → oil spike. Deploy cash</t>
  </si>
  <si>
    <t xml:space="preserve">Extended → clean energy thesis strengthens</t>
  </si>
  <si>
    <t xml:space="preserve">55%</t>
  </si>
  <si>
    <t xml:space="preserve">🔴 CRITICAL DECISION</t>
  </si>
  <si>
    <t xml:space="preserve">This determines entire H2 strategy</t>
  </si>
  <si>
    <t xml:space="preserve">Apr 27</t>
  </si>
  <si>
    <t xml:space="preserve">Dividend payment arrives in account</t>
  </si>
  <si>
    <t xml:space="preserve">~£20-25 cash. Reinvest or hold</t>
  </si>
  <si>
    <t xml:space="preserve">95%</t>
  </si>
  <si>
    <t xml:space="preserve">✅ COLLECT</t>
  </si>
  <si>
    <t xml:space="preserve">Add to RR. or SQZ with dividend cash</t>
  </si>
  <si>
    <t xml:space="preserve">May 12</t>
  </si>
  <si>
    <t xml:space="preserve">Q4/FY2025 earnings + GTA LNG update</t>
  </si>
  <si>
    <t xml:space="preserve">GTA ramp confirmed → KOS $3.50+</t>
  </si>
  <si>
    <t xml:space="preserve">Disappointing → flat</t>
  </si>
  <si>
    <t xml:space="preserve">80%</t>
  </si>
  <si>
    <t xml:space="preserve">✅ HOLD through</t>
  </si>
  <si>
    <t xml:space="preserve">If $4+ sell 30%, trail rest</t>
  </si>
  <si>
    <t xml:space="preserve">May 22</t>
  </si>
  <si>
    <t xml:space="preserve">Q1 2026 earnings (IF re-entered)</t>
  </si>
  <si>
    <t xml:space="preserve">Peak freight captured → $8+ re-rating</t>
  </si>
  <si>
    <t xml:space="preserve">Dilution fear → flat</t>
  </si>
  <si>
    <t xml:space="preserve">90%</t>
  </si>
  <si>
    <t xml:space="preserve">HOLD if re-entered</t>
  </si>
  <si>
    <t xml:space="preserve">Only relevant if ceasefire collapsed</t>
  </si>
  <si>
    <t xml:space="preserve">Q2</t>
  </si>
  <si>
    <t xml:space="preserve">PM323 Malaysia infill drilling results</t>
  </si>
  <si>
    <t xml:space="preserve">Production boost → JSE 35-45p</t>
  </si>
  <si>
    <t xml:space="preserve">Dry hole → flat</t>
  </si>
  <si>
    <t xml:space="preserve">✅ HOLD</t>
  </si>
  <si>
    <t xml:space="preserve">If 45p+ sell 30%</t>
  </si>
  <si>
    <t xml:space="preserve">Rule 2.7 formal bid announcement</t>
  </si>
  <si>
    <t xml:space="preserve">Bid 95-150p → sell 50% at bid</t>
  </si>
  <si>
    <t xml:space="preserve">No offer → 70p</t>
  </si>
  <si>
    <t xml:space="preserve">65%</t>
  </si>
  <si>
    <t xml:space="preserve">🎯 KEY EVENT</t>
  </si>
  <si>
    <t xml:space="preserve">Sell 50% at bid. Hold 50% for counter-bid</t>
  </si>
  <si>
    <t xml:space="preserve">Serica-EnQuest merger progress</t>
  </si>
  <si>
    <t xml:space="preserve">Merger advances → SQZ re-rates</t>
  </si>
  <si>
    <t xml:space="preserve">Deal collapses → flat</t>
  </si>
  <si>
    <t xml:space="preserve">50%</t>
  </si>
  <si>
    <t xml:space="preserve">🟡 MONITOR</t>
  </si>
  <si>
    <t xml:space="preserve">Hold for merger + LSE uplisting Q3</t>
  </si>
  <si>
    <t xml:space="preserve">CLEAN</t>
  </si>
  <si>
    <t xml:space="preserve">SMR programme updates + defence orders</t>
  </si>
  <si>
    <t xml:space="preserve">Contract news → RR. continues climbing</t>
  </si>
  <si>
    <t xml:space="preserve">Delays → consolidation</t>
  </si>
  <si>
    <t xml:space="preserve">75%</t>
  </si>
  <si>
    <t xml:space="preserve">Long-term position. Don't trade in/out</t>
  </si>
  <si>
    <t xml:space="preserve">El Romeral permits decision (IF re-entered)</t>
  </si>
  <si>
    <t xml:space="preserve">Permits → PXEN 8-12p</t>
  </si>
  <si>
    <t xml:space="preserve">Delayed → flat</t>
  </si>
  <si>
    <t xml:space="preserve">CONDITIONAL</t>
  </si>
  <si>
    <t xml:space="preserve">Only relevant if ceasefire collapsed + re-entered</t>
  </si>
  <si>
    <t xml:space="preserve">Jun 20</t>
  </si>
  <si>
    <t xml:space="preserve">Q2 EXIT ASSESSMENT — Is oil still &gt;$90?</t>
  </si>
  <si>
    <t xml:space="preserve">Yes → hold oil positions 2 more weeks</t>
  </si>
  <si>
    <t xml:space="preserve">No → begin systematic exit of oil positions</t>
  </si>
  <si>
    <t xml:space="preserve">🔴 ASSESS</t>
  </si>
  <si>
    <t xml:space="preserve">Oil positions only. Clean energy holds regardless</t>
  </si>
  <si>
    <t xml:space="preserve">Jun 28</t>
  </si>
  <si>
    <t xml:space="preserve">OIL POSITION EXIT DEADLINE (Ukraine precedent)</t>
  </si>
  <si>
    <t xml:space="preserve">Sell oil stocks down to 20-30% trail positions</t>
  </si>
  <si>
    <t xml:space="preserve">Emergency exit if oil &lt;$75</t>
  </si>
  <si>
    <t xml:space="preserve">🔴 EXIT OIL</t>
  </si>
  <si>
    <t xml:space="preserve">Clean energy, defence, gold = KEEP through Q3</t>
  </si>
  <si>
    <t xml:space="preserve">Jul</t>
  </si>
  <si>
    <t xml:space="preserve">AEX</t>
  </si>
  <si>
    <t xml:space="preserve">Aminex pipeline completion → first gas Sept</t>
  </si>
  <si>
    <t xml:space="preserve">Revenue transforms thesis → AEX 4p+</t>
  </si>
  <si>
    <t xml:space="preserve">Tanzania delays (again)</t>
  </si>
  <si>
    <t xml:space="preserve">🟡 RE-BUY candidate</t>
  </si>
  <si>
    <t xml:space="preserve">Buy back the Q2 sale — now weeks from revenue</t>
  </si>
  <si>
    <t xml:space="preserve">Q3</t>
  </si>
  <si>
    <t xml:space="preserve">AIM → LSE main market migration</t>
  </si>
  <si>
    <t xml:space="preserve">Institutional buying → SQZ re-rates</t>
  </si>
  <si>
    <t xml:space="preserve">This triggers automatic buying from index funds</t>
  </si>
  <si>
    <t xml:space="preserve">UK SMR site selection + order book</t>
  </si>
  <si>
    <t xml:space="preserve">Government commitment solidifies</t>
  </si>
  <si>
    <t xml:space="preserve">Planning delays</t>
  </si>
  <si>
    <t xml:space="preserve">Multi-year position</t>
  </si>
  <si>
    <t xml:space="preserve">Grid investment announcements</t>
  </si>
  <si>
    <t xml:space="preserve">New projects = revenue visibility</t>
  </si>
  <si>
    <t xml:space="preserve">Regulatory pushback</t>
  </si>
  <si>
    <t xml:space="preserve">Dividend compounder</t>
  </si>
  <si>
    <t xml:space="preserve">Offshore wind farm progress</t>
  </si>
  <si>
    <t xml:space="preserve">Capacity additions → SSE re-rates</t>
  </si>
  <si>
    <t xml:space="preserve">Weather/supply chain delays</t>
  </si>
  <si>
    <t xml:space="preserve">Dividend reinvested</t>
  </si>
  <si>
    <t xml:space="preserve">Q4</t>
  </si>
  <si>
    <t xml:space="preserve">Partner deadline Dec 2026 — make or break</t>
  </si>
  <si>
    <t xml:space="preserve">Partner → BOR 25-80p (2.5-8x)</t>
  </si>
  <si>
    <t xml:space="preserve">No partner → cash crisis</t>
  </si>
  <si>
    <t xml:space="preserve">35%</t>
  </si>
  <si>
    <t xml:space="preserve">🎯 BINARY</t>
  </si>
  <si>
    <t xml:space="preserve">If re-entered, hold through deadline</t>
  </si>
  <si>
    <t xml:space="preserve">Hydrogen orders + cash flow positivity target</t>
  </si>
  <si>
    <t xml:space="preserve">Revenue growth → ITM 70p+</t>
  </si>
  <si>
    <t xml:space="preserve">Losses continue → ITM 30p</t>
  </si>
  <si>
    <t xml:space="preserve">45%</t>
  </si>
  <si>
    <t xml:space="preserve">🟡 HOLD SMALL</t>
  </si>
  <si>
    <t xml:space="preserve">High risk. Size accordingly</t>
  </si>
  <si>
    <t xml:space="preserve">GOLD</t>
  </si>
  <si>
    <t xml:space="preserve">Gold/silver year-end demand</t>
  </si>
  <si>
    <t xml:space="preserve">Gold $2,500+ → FRES premium</t>
  </si>
  <si>
    <t xml:space="preserve">Gold retraces → FRES flat</t>
  </si>
  <si>
    <t xml:space="preserve">Structural position</t>
  </si>
  <si>
    <t xml:space="preserve">Dec</t>
  </si>
  <si>
    <t xml:space="preserve">FULL YEAR REVIEW — Plan 2027 strategy</t>
  </si>
  <si>
    <t xml:space="preserve">Portfolio value £10-20k+</t>
  </si>
  <si>
    <t xml:space="preserve">Close losers for tax offset</t>
  </si>
  <si>
    <t xml:space="preserve">📊 REVIEW</t>
  </si>
  <si>
    <t xml:space="preserve">Three rotations complete. Assess full-year P&amp;L</t>
  </si>
  <si>
    <t xml:space="preserve">CASH RESERVE DEPLOYMENT RULES — £750 War Chest</t>
  </si>
  <si>
    <t xml:space="preserve">SCENARIO A: CEASEFIRE COLLAPSES (Oil spikes back to $110+) — Deploy into original squeeze stocks at LOWER prices</t>
  </si>
  <si>
    <t xml:space="preserve">Re-Enter</t>
  </si>
  <si>
    <t xml:space="preserve">Amount</t>
  </si>
  <si>
    <t xml:space="preserve">Target Entry</t>
  </si>
  <si>
    <t xml:space="preserve">Original Entry</t>
  </si>
  <si>
    <t xml:space="preserve">Saving</t>
  </si>
  <si>
    <t xml:space="preserve">Catalyst</t>
  </si>
  <si>
    <t xml:space="preserve">£250</t>
  </si>
  <si>
    <t xml:space="preserve">$3.00-3.50</t>
  </si>
  <si>
    <t xml:space="preserve">$4.10</t>
  </si>
  <si>
    <t xml:space="preserve">~20% cheaper</t>
  </si>
  <si>
    <t xml:space="preserve">Q1 earnings May 22 at peak freight + gamma squeeze</t>
  </si>
  <si>
    <t xml:space="preserve">£200</t>
  </si>
  <si>
    <t xml:space="preserve">$27-30</t>
  </si>
  <si>
    <t xml:space="preserve">$33.78</t>
  </si>
  <si>
    <t xml:space="preserve">~15% cheaper</t>
  </si>
  <si>
    <t xml:space="preserve">Q1 earnings May. VLCC rates spike again</t>
  </si>
  <si>
    <t xml:space="preserve">£150</t>
  </si>
  <si>
    <t xml:space="preserve">3-4p</t>
  </si>
  <si>
    <t xml:space="preserve">4.85p</t>
  </si>
  <si>
    <t xml:space="preserve">~30% cheaper</t>
  </si>
  <si>
    <t xml:space="preserve">EU gas spikes. El Romeral permits Q2</t>
  </si>
  <si>
    <t xml:space="preserve">6-8p</t>
  </si>
  <si>
    <t xml:space="preserve">10p</t>
  </si>
  <si>
    <t xml:space="preserve">Partner urgency increases. Licence Dec 2026</t>
  </si>
  <si>
    <t xml:space="preserve">SCENARIO B: CEASEFIRE HOLDS / PEACE DEAL (Oil normalises $75-85) — Deploy into UK clean energy</t>
  </si>
  <si>
    <t xml:space="preserve">Add To</t>
  </si>
  <si>
    <t xml:space="preserve">Current</t>
  </si>
  <si>
    <t xml:space="preserve">New Total</t>
  </si>
  <si>
    <t xml:space="preserve">Theme</t>
  </si>
  <si>
    <t xml:space="preserve">£450</t>
  </si>
  <si>
    <t xml:space="preserve">Nuclear SMR</t>
  </si>
  <si>
    <t xml:space="preserve">Government accelerates SMR programme. 'Never again' mandate</t>
  </si>
  <si>
    <t xml:space="preserve">UK North Sea</t>
  </si>
  <si>
    <t xml:space="preserve">Domestic production prioritised. ENQ merger. LSE uplisting</t>
  </si>
  <si>
    <t xml:space="preserve">£300</t>
  </si>
  <si>
    <t xml:space="preserve">Offshore Wind</t>
  </si>
  <si>
    <t xml:space="preserve">50GW target by 2030. Government flagship programme</t>
  </si>
  <si>
    <t xml:space="preserve">£400</t>
  </si>
  <si>
    <t xml:space="preserve">Every new energy source connects through National Grid</t>
  </si>
  <si>
    <t xml:space="preserve">THE DECISION FRAMEWORK — Check every Sunday night</t>
  </si>
  <si>
    <t xml:space="preserve">Step</t>
  </si>
  <si>
    <t xml:space="preserve">Question</t>
  </si>
  <si>
    <t xml:space="preserve">If YES</t>
  </si>
  <si>
    <t xml:space="preserve">If NO</t>
  </si>
  <si>
    <t xml:space="preserve">1</t>
  </si>
  <si>
    <t xml:space="preserve">Has the ceasefire collapsed / oil above $100?</t>
  </si>
  <si>
    <t xml:space="preserve">→ Deploy Scenario A (IMPP+FRO+PXEN+BOR)</t>
  </si>
  <si>
    <t xml:space="preserve">→ Go to Step 2</t>
  </si>
  <si>
    <t xml:space="preserve">2</t>
  </si>
  <si>
    <t xml:space="preserve">Has AET received a formal bid?</t>
  </si>
  <si>
    <t xml:space="preserve">→ Sell 50% AET. Hold cash for next catalyst</t>
  </si>
  <si>
    <t xml:space="preserve">→ Go to Step 3</t>
  </si>
  <si>
    <t xml:space="preserve">3</t>
  </si>
  <si>
    <t xml:space="preserve">Has a company catalyst FIRED this week?</t>
  </si>
  <si>
    <t xml:space="preserve">→ Take 30-50% profit. Redeploy per decision tree</t>
  </si>
  <si>
    <t xml:space="preserve">→ Go to Step 4</t>
  </si>
  <si>
    <t xml:space="preserve">4</t>
  </si>
  <si>
    <t xml:space="preserve">Is it BEFORE late June?</t>
  </si>
  <si>
    <t xml:space="preserve">→ Redeploy into most underweight core position</t>
  </si>
  <si>
    <t xml:space="preserve">→ Build cash for Q3/Q4 rotation</t>
  </si>
  <si>
    <t xml:space="preserve">5</t>
  </si>
  <si>
    <t xml:space="preserve">Is it AFTER June 28?</t>
  </si>
  <si>
    <t xml:space="preserve">→ Exit oil positions. Keep clean energy + defence + gold</t>
  </si>
  <si>
    <t xml:space="preserve">→ Wait. Patience = profit</t>
  </si>
  <si>
    <t xml:space="preserve">6</t>
  </si>
  <si>
    <t xml:space="preserve">Sunday night check: Islamabad talks progress?</t>
  </si>
  <si>
    <t xml:space="preserve">→ Add to clean energy (Scenario B)</t>
  </si>
  <si>
    <t xml:space="preserve">→ Add to oil watchlist (Scenario A)</t>
  </si>
  <si>
    <t xml:space="preserve">THE GOLDEN RULE: Your £750 cash reserve covers BOTH outcomes. Don't rush to deploy. Let the market tell you which scenario is playing out.</t>
  </si>
  <si>
    <t xml:space="preserve">⚠️ Not financial advice. Speculative analysis only. All investments carry risk including total loss. Consult a qualified advisor.</t>
  </si>
  <si>
    <t xml:space="preserve">DNA ENTERTAINMENT — EXECUTION CHECKLIST | Restructure Day</t>
  </si>
  <si>
    <t xml:space="preserve">Do these in EXACT sequence. Sell first, buy second. Don't buy before sells execute.</t>
  </si>
  <si>
    <t xml:space="preserve">STEP 1: SELL ALL — Free up £931</t>
  </si>
  <si>
    <t xml:space="preserve">Current £</t>
  </si>
  <si>
    <t xml:space="preserve">Today's %</t>
  </si>
  <si>
    <t xml:space="preserve">Reason</t>
  </si>
  <si>
    <t xml:space="preserve">Re-entry Plan</t>
  </si>
  <si>
    <t xml:space="preserve">SELL ALL</t>
  </si>
  <si>
    <t xml:space="preserve">STAR</t>
  </si>
  <si>
    <t xml:space="preserve">Star Energy</t>
  </si>
  <si>
    <t xml:space="preserve">£641</t>
  </si>
  <si>
    <t xml:space="preserve">+2.45%</t>
  </si>
  <si>
    <t xml:space="preserve">MED squeeze. Production missed guidance. No Q2 catalyst. Redundant alongside SQZ</t>
  </si>
  <si>
    <t xml:space="preserve">NO re-entry. Permanently removed from framework</t>
  </si>
  <si>
    <t xml:space="preserve">ECO</t>
  </si>
  <si>
    <t xml:space="preserve">Eco (Atlantic)</t>
  </si>
  <si>
    <t xml:space="preserve">£120</t>
  </si>
  <si>
    <t xml:space="preserve">+19.74%</t>
  </si>
  <si>
    <t xml:space="preserve">TAKE THIS PROFIT. Pre-revenue. Namibia farmout H2+ 2026</t>
  </si>
  <si>
    <t xml:space="preserve">Re-enter on Namibia farmout RNS. Set Investegate alert</t>
  </si>
  <si>
    <t xml:space="preserve">PANR</t>
  </si>
  <si>
    <t xml:space="preserve">Pantheon</t>
  </si>
  <si>
    <t xml:space="preserve">£101</t>
  </si>
  <si>
    <t xml:space="preserve">+0.73%</t>
  </si>
  <si>
    <t xml:space="preserve">Dubhe-1 disappointing. No rig contract. No firm retest date</t>
  </si>
  <si>
    <t xml:space="preserve">Re-enter ONLY when rig contract RNS drops</t>
  </si>
  <si>
    <t xml:space="preserve">Aminex</t>
  </si>
  <si>
    <t xml:space="preserve">£69</t>
  </si>
  <si>
    <t xml:space="preserve">+3.10%</t>
  </si>
  <si>
    <t xml:space="preserve">First gas not until September. 5 months away. Dead money until July</t>
  </si>
  <si>
    <t xml:space="preserve">Re-enter late July. Set calendar reminder Jul 20</t>
  </si>
  <si>
    <t xml:space="preserve">STEP 2: REDUCE — Free up £1,082</t>
  </si>
  <si>
    <t xml:space="preserve">REDUCE 50%</t>
  </si>
  <si>
    <t xml:space="preserve">£818→£400</t>
  </si>
  <si>
    <t xml:space="preserve">−0.67%</t>
  </si>
  <si>
    <t xml:space="preserve">Ceasefire weakens shipping thesis. Keep half — cash floor protects. Re-add if war resumes</t>
  </si>
  <si>
    <t xml:space="preserve">Half position = lottery ticket if ceasefire collapses</t>
  </si>
  <si>
    <t xml:space="preserve">£589→£300</t>
  </si>
  <si>
    <t xml:space="preserve">+0.03%</t>
  </si>
  <si>
    <t xml:space="preserve">EU gas premium fading BUT permits could drop any day. Hold core for binary catalyst</t>
  </si>
  <si>
    <t xml:space="preserve">Permits are untimeable — can't sell and re-enter safely</t>
  </si>
  <si>
    <t xml:space="preserve">7</t>
  </si>
  <si>
    <t xml:space="preserve">REDUCE 45%</t>
  </si>
  <si>
    <t xml:space="preserve">£537→£300</t>
  </si>
  <si>
    <t xml:space="preserve">+7.37%</t>
  </si>
  <si>
    <t xml:space="preserve">Safe haven urgency reduced BUT Dec 2026 deadline creates Q4 pressure. Hold for partner lottery</t>
  </si>
  <si>
    <t xml:space="preserve">Deadline pressure INCREASES every month. Worth waiting</t>
  </si>
  <si>
    <t xml:space="preserve">8</t>
  </si>
  <si>
    <t xml:space="preserve">REDUCE 30%</t>
  </si>
  <si>
    <t xml:space="preserve">£438→£300</t>
  </si>
  <si>
    <t xml:space="preserve">+0.55%</t>
  </si>
  <si>
    <t xml:space="preserve">Overweight vs framework. Trim to fund clean energy positions</t>
  </si>
  <si>
    <t xml:space="preserve">Uranium thesis intact. Just right-sizing the position</t>
  </si>
  <si>
    <t xml:space="preserve">STEP 3: DON'T TOUCH — These stay exactly as they are</t>
  </si>
  <si>
    <t xml:space="preserve">£1,051</t>
  </si>
  <si>
    <t xml:space="preserve">+5.21%</t>
  </si>
  <si>
    <t xml:space="preserve">ANCHOR. Bid + drilling imminent. Canaccord 115p. TOP UP with £150</t>
  </si>
  <si>
    <t xml:space="preserve">Strongest position. Increase, don't reduce</t>
  </si>
  <si>
    <t xml:space="preserve">£872</t>
  </si>
  <si>
    <t xml:space="preserve">−8.19%</t>
  </si>
  <si>
    <t xml:space="preserve">Ceasefire WINNER. Dividend captured Apr 10. Intl pricing ahead</t>
  </si>
  <si>
    <t xml:space="preserve">Down today = opportunity, not problem</t>
  </si>
  <si>
    <t xml:space="preserve">£430</t>
  </si>
  <si>
    <t xml:space="preserve">−4.40%</t>
  </si>
  <si>
    <t xml:space="preserve">Vietnam FDP CONFIRMED. PM323 drilling Q2. 54p target</t>
  </si>
  <si>
    <t xml:space="preserve">Catalyst confirmed. Hold through Q2</t>
  </si>
  <si>
    <t xml:space="preserve">£388</t>
  </si>
  <si>
    <t xml:space="preserve">−2.45%</t>
  </si>
  <si>
    <t xml:space="preserve">Sea Lion milestones ongoing. Can't time RNS drops. Hold through</t>
  </si>
  <si>
    <t xml:space="preserve">Development news could drop any day</t>
  </si>
  <si>
    <t xml:space="preserve">£289</t>
  </si>
  <si>
    <t xml:space="preserve">−3.04%</t>
  </si>
  <si>
    <t xml:space="preserve">UK independence leader. ENQ merger. LSE uplisting Q3. 13% div</t>
  </si>
  <si>
    <t xml:space="preserve">Multiple catalysts spanning Q2-Q4</t>
  </si>
  <si>
    <t xml:space="preserve">£244</t>
  </si>
  <si>
    <t xml:space="preserve">−4.53%</t>
  </si>
  <si>
    <t xml:space="preserve">Gold at record highs. Down today = buying opportunity if anything</t>
  </si>
  <si>
    <t xml:space="preserve">Uncertainty hedge. Hold regardless</t>
  </si>
  <si>
    <t xml:space="preserve">SEPL</t>
  </si>
  <si>
    <t xml:space="preserve">Seplat Energy</t>
  </si>
  <si>
    <t xml:space="preserve">£113</t>
  </si>
  <si>
    <t xml:space="preserve">+14.78%</t>
  </si>
  <si>
    <t xml:space="preserve">Bonny Light premium. ANOH gas ramp. Small but working</t>
  </si>
  <si>
    <t xml:space="preserve">Let winners run</t>
  </si>
  <si>
    <t xml:space="preserve">STEP 4: BUY — Deploy £931 from sells + £1,082 from reduces = ~£2,013 available</t>
  </si>
  <si>
    <t xml:space="preserve">Priority</t>
  </si>
  <si>
    <t xml:space="preserve">Why this order</t>
  </si>
  <si>
    <t xml:space="preserve">Expected Return</t>
  </si>
  <si>
    <t xml:space="preserve">1st</t>
  </si>
  <si>
    <t xml:space="preserve">BUY</t>
  </si>
  <si>
    <t xml:space="preserve">NATO spending permanent. Wins war OR peace. Most urgent gap in portfolio</t>
  </si>
  <si>
    <t xml:space="preserve">15-40% structural</t>
  </si>
  <si>
    <t xml:space="preserve">2nd</t>
  </si>
  <si>
    <t xml:space="preserve">£350</t>
  </si>
  <si>
    <t xml:space="preserve">Completely missing! GTA LNG + $4.25 target + earnings May 12</t>
  </si>
  <si>
    <t xml:space="preserve">50-150% if GTA delivers</t>
  </si>
  <si>
    <t xml:space="preserve">3rd</t>
  </si>
  <si>
    <t xml:space="preserve">UK nuclear flagship. +25% YTD. SMR programme government-backed</t>
  </si>
  <si>
    <t xml:space="preserve">20-50% structural</t>
  </si>
  <si>
    <t xml:space="preserve">4th</t>
  </si>
  <si>
    <t xml:space="preserve">TOP UP</t>
  </si>
  <si>
    <t xml:space="preserve">Make anchor bigger. £1,051→£1,251. Bid + Pacassa imminent</t>
  </si>
  <si>
    <t xml:space="preserve">40-100% on bid</t>
  </si>
  <si>
    <t xml:space="preserve">5th</t>
  </si>
  <si>
    <t xml:space="preserve">Grid Infrastructure</t>
  </si>
  <si>
    <t xml:space="preserve">Every renewable connects through NG. £60B investment. 5% dividend</t>
  </si>
  <si>
    <t xml:space="preserve">10-20% + 5% div</t>
  </si>
  <si>
    <t xml:space="preserve">6th</t>
  </si>
  <si>
    <t xml:space="preserve">UK's largest renewable developer. 50GW target. 8% dividend</t>
  </si>
  <si>
    <t xml:space="preserve">10-25% + 8% div</t>
  </si>
  <si>
    <t xml:space="preserve">7th</t>
  </si>
  <si>
    <t xml:space="preserve">£100</t>
  </si>
  <si>
    <t xml:space="preserve">Speculative. UK hydrogen leader. Smallest position. Buy LAST</t>
  </si>
  <si>
    <t xml:space="preserve">50-200% or −50%</t>
  </si>
  <si>
    <t xml:space="preserve">£313</t>
  </si>
  <si>
    <t xml:space="preserve">War chest</t>
  </si>
  <si>
    <t xml:space="preserve">Don't deploy yet. Islamabad talks ongoing. Wait for outcome</t>
  </si>
  <si>
    <t xml:space="preserve">Deploy per decision tree</t>
  </si>
  <si>
    <t xml:space="preserve">DNA ENTERTAINMENT — POST-RESTRUCTURE PORTFOLIO | 17 Positions + Cash</t>
  </si>
  <si>
    <t xml:space="preserve">4 engines: Oil &amp; Gas (57%), UK Clean Energy (14%), Defence (7%), Precious Metals (4%), Cash (5%)</t>
  </si>
  <si>
    <t xml:space="preserve">£ Value</t>
  </si>
  <si>
    <t xml:space="preserve">% Fund</t>
  </si>
  <si>
    <t xml:space="preserve">Shares</t>
  </si>
  <si>
    <t xml:space="preserve">Catalyst Window</t>
  </si>
  <si>
    <t xml:space="preserve">Key Catalyst</t>
  </si>
  <si>
    <t xml:space="preserve">Hold Through?</t>
  </si>
  <si>
    <t xml:space="preserve">Conviction</t>
  </si>
  <si>
    <t xml:space="preserve">~£1,251</t>
  </si>
  <si>
    <t xml:space="preserve">19%</t>
  </si>
  <si>
    <t xml:space="preserve">1,237+</t>
  </si>
  <si>
    <t xml:space="preserve">Rule 2.7 bid + Pacassa SW drilling NOW</t>
  </si>
  <si>
    <t xml:space="preserve">YES — anchor</t>
  </si>
  <si>
    <t xml:space="preserve">10/10</t>
  </si>
  <si>
    <t xml:space="preserve">~£872</t>
  </si>
  <si>
    <t xml:space="preserve">13%</t>
  </si>
  <si>
    <t xml:space="preserve">458</t>
  </si>
  <si>
    <t xml:space="preserve">Q2-Q3</t>
  </si>
  <si>
    <t xml:space="preserve">Div Apr 27 + intl pricing review</t>
  </si>
  <si>
    <t xml:space="preserve">YES — ceasefire winner</t>
  </si>
  <si>
    <t xml:space="preserve">8/10</t>
  </si>
  <si>
    <t xml:space="preserve">~£450</t>
  </si>
  <si>
    <t xml:space="preserve">7%</t>
  </si>
  <si>
    <t xml:space="preserve">~20</t>
  </si>
  <si>
    <t xml:space="preserve">PERMANENT</t>
  </si>
  <si>
    <t xml:space="preserve">NATO 5% GDP spending. Record £83.6B backlog</t>
  </si>
  <si>
    <t xml:space="preserve">YES — decade play</t>
  </si>
  <si>
    <t xml:space="preserve">9/10</t>
  </si>
  <si>
    <t xml:space="preserve">~£430</t>
  </si>
  <si>
    <t xml:space="preserve">6%</t>
  </si>
  <si>
    <t xml:space="preserve">1,623</t>
  </si>
  <si>
    <t xml:space="preserve">Vietnam FDP confirmed + PM323 drilling</t>
  </si>
  <si>
    <t xml:space="preserve">YES — catalyst confirmed</t>
  </si>
  <si>
    <t xml:space="preserve">7/10</t>
  </si>
  <si>
    <t xml:space="preserve">~£400</t>
  </si>
  <si>
    <t xml:space="preserve">~125</t>
  </si>
  <si>
    <t xml:space="preserve">Q2 (conditional)</t>
  </si>
  <si>
    <t xml:space="preserve">Q1 earnings May 22. RE-ADD if war resumes</t>
  </si>
  <si>
    <t xml:space="preserve">CONDITIONAL — ceasefire dependent</t>
  </si>
  <si>
    <t xml:space="preserve">6/10</t>
  </si>
  <si>
    <t xml:space="preserve">Falklands</t>
  </si>
  <si>
    <t xml:space="preserve">~£388</t>
  </si>
  <si>
    <t xml:space="preserve">460</t>
  </si>
  <si>
    <t xml:space="preserve">Q2-Q4</t>
  </si>
  <si>
    <t xml:space="preserve">Sea Lion milestones. Can't time RNS</t>
  </si>
  <si>
    <t xml:space="preserve">YES — untimeable catalyst</t>
  </si>
  <si>
    <t xml:space="preserve">~£350</t>
  </si>
  <si>
    <t xml:space="preserve">5%</t>
  </si>
  <si>
    <t xml:space="preserve">~120</t>
  </si>
  <si>
    <t xml:space="preserve">GTA LNG ramp + earnings May 12</t>
  </si>
  <si>
    <t xml:space="preserve">YES — earnings imminent</t>
  </si>
  <si>
    <t xml:space="preserve">~£300</t>
  </si>
  <si>
    <t xml:space="preserve">4%</t>
  </si>
  <si>
    <t xml:space="preserve">~8,800</t>
  </si>
  <si>
    <t xml:space="preserve">El Romeral permits. MITECO review</t>
  </si>
  <si>
    <t xml:space="preserve">YES — binary untimeable</t>
  </si>
  <si>
    <t xml:space="preserve">5/10</t>
  </si>
  <si>
    <t xml:space="preserve">~3,000</t>
  </si>
  <si>
    <t xml:space="preserve">Q3-Q4</t>
  </si>
  <si>
    <t xml:space="preserve">Partner farm-out. Licence Dec 2026</t>
  </si>
  <si>
    <t xml:space="preserve">YES — deadline creates Q4 urgency</t>
  </si>
  <si>
    <t xml:space="preserve">71</t>
  </si>
  <si>
    <t xml:space="preserve">Physical uranium. SMR demand structural</t>
  </si>
  <si>
    <t xml:space="preserve">YES — structural</t>
  </si>
  <si>
    <t xml:space="preserve">Oil-UK</t>
  </si>
  <si>
    <t xml:space="preserve">~£289</t>
  </si>
  <si>
    <t xml:space="preserve">111</t>
  </si>
  <si>
    <t xml:space="preserve">ENQ merger + LSE uplisting Q3 + 13% div</t>
  </si>
  <si>
    <t xml:space="preserve">YES — multiple catalysts</t>
  </si>
  <si>
    <t xml:space="preserve">~£250</t>
  </si>
  <si>
    <t xml:space="preserve">~40</t>
  </si>
  <si>
    <t xml:space="preserve">UK SMR programme + defence engines</t>
  </si>
  <si>
    <t xml:space="preserve">~£244</t>
  </si>
  <si>
    <t xml:space="preserve">Gold record highs. Central bank buying</t>
  </si>
  <si>
    <t xml:space="preserve">YES — uncertainty hedge</t>
  </si>
  <si>
    <t xml:space="preserve">~£200</t>
  </si>
  <si>
    <t xml:space="preserve">3%</t>
  </si>
  <si>
    <t xml:space="preserve">£60B investment. 5% dividend. All energy connects</t>
  </si>
  <si>
    <t xml:space="preserve">YES — infrastructure backbone</t>
  </si>
  <si>
    <t xml:space="preserve">~£150</t>
  </si>
  <si>
    <t xml:space="preserve">2%</t>
  </si>
  <si>
    <t xml:space="preserve">~9</t>
  </si>
  <si>
    <t xml:space="preserve">50GW offshore wind target. 8% dividend</t>
  </si>
  <si>
    <t xml:space="preserve">YES — government-backed</t>
  </si>
  <si>
    <t xml:space="preserve">Oil-Nigeria</t>
  </si>
  <si>
    <t xml:space="preserve">~£113</t>
  </si>
  <si>
    <t xml:space="preserve">21</t>
  </si>
  <si>
    <t xml:space="preserve">Bonny Light premium + ANOH gas ramp</t>
  </si>
  <si>
    <t xml:space="preserve">YES — small winner running</t>
  </si>
  <si>
    <t xml:space="preserve">~£100</t>
  </si>
  <si>
    <t xml:space="preserve">1%</t>
  </si>
  <si>
    <t xml:space="preserve">~220</t>
  </si>
  <si>
    <t xml:space="preserve">UK hydrogen leader. Cash flow target 2026</t>
  </si>
  <si>
    <t xml:space="preserve">YES — tiny speculative</t>
  </si>
  <si>
    <t xml:space="preserve">4/10</t>
  </si>
  <si>
    <t xml:space="preserve">War Chest</t>
  </si>
  <si>
    <t xml:space="preserve">~£313</t>
  </si>
  <si>
    <t xml:space="preserve">REACTIVE</t>
  </si>
  <si>
    <t xml:space="preserve">Deploy per decision tree (Tab 4)</t>
  </si>
  <si>
    <t xml:space="preserve">N/A — deploy on signal</t>
  </si>
  <si>
    <t xml:space="preserve">~£6,700</t>
  </si>
  <si>
    <t xml:space="preserve">100%</t>
  </si>
  <si>
    <t xml:space="preserve">PORTFOLIO ENGINE BREAKDOWN</t>
  </si>
  <si>
    <t xml:space="preserve">Positions</t>
  </si>
  <si>
    <t xml:space="preserve">% of Fund</t>
  </si>
  <si>
    <t xml:space="preserve">Works When...</t>
  </si>
  <si>
    <t xml:space="preserve">Oil &amp; Gas (Non-Gulf + UK)</t>
  </si>
  <si>
    <t xml:space="preserve">~£3,805</t>
  </si>
  <si>
    <t xml:space="preserve">57%</t>
  </si>
  <si>
    <t xml:space="preserve">Mixed — some benefit, some hurt</t>
  </si>
  <si>
    <t xml:space="preserve">Oil elevated + company catalysts fire</t>
  </si>
  <si>
    <t xml:space="preserve">UK Clean Energy</t>
  </si>
  <si>
    <t xml:space="preserve">~£700</t>
  </si>
  <si>
    <t xml:space="preserve">10%</t>
  </si>
  <si>
    <t xml:space="preserve">STRONG BENEFIT — 'never again' narrative</t>
  </si>
  <si>
    <t xml:space="preserve">Government accelerates clean energy spending</t>
  </si>
  <si>
    <t xml:space="preserve">Uranium/Nuclear</t>
  </si>
  <si>
    <t xml:space="preserve">1 (+ RR.)</t>
  </si>
  <si>
    <t xml:space="preserve">IMMUNE — AI data centres drive demand</t>
  </si>
  <si>
    <t xml:space="preserve">Nuclear renaissance regardless of geopolitics</t>
  </si>
  <si>
    <t xml:space="preserve">WINS BOTH WAYS</t>
  </si>
  <si>
    <t xml:space="preserve">NATO spending permanent. War or peace</t>
  </si>
  <si>
    <t xml:space="preserve">Precious Metals</t>
  </si>
  <si>
    <t xml:space="preserve">Market uncertainty in any direction</t>
  </si>
  <si>
    <t xml:space="preserve">Cash Reserve</t>
  </si>
  <si>
    <t xml:space="preserve">MAXIMUM FLEXIBILITY</t>
  </si>
  <si>
    <t xml:space="preserve">Deploy into either scenario on signal</t>
  </si>
  <si>
    <t xml:space="preserve">Q3/Q4 RE-ENTRY PLAN — Sold Stocks + New Rotation Candidates</t>
  </si>
  <si>
    <t xml:space="preserve">Calendar reminders + specific buy signals for stocks sold in the restructure</t>
  </si>
  <si>
    <t xml:space="preserve">SOLD STOCKS — When and how to re-enter</t>
  </si>
  <si>
    <t xml:space="preserve">Sold At</t>
  </si>
  <si>
    <t xml:space="preserve">Reason Sold</t>
  </si>
  <si>
    <t xml:space="preserve">Re-entry Signal</t>
  </si>
  <si>
    <t xml:space="preserve">Re-entry Date</t>
  </si>
  <si>
    <t xml:space="preserve">Expected vs Sold</t>
  </si>
  <si>
    <t xml:space="preserve">Set Reminder</t>
  </si>
  <si>
    <t xml:space="preserve">£69 (+3%)</t>
  </si>
  <si>
    <t xml:space="preserve">First gas 5 months away. Dead money</t>
  </si>
  <si>
    <t xml:space="preserve">Investegate RNS: 'Pipeline completion' or 'First gas imminent'</t>
  </si>
  <si>
    <t xml:space="preserve">Jul 20 2026</t>
  </si>
  <si>
    <t xml:space="preserve">2-3p</t>
  </si>
  <si>
    <t xml:space="preserve">CHEAPER — buy the dip before catalyst</t>
  </si>
  <si>
    <t xml:space="preserve">📅 Calendar: Jul 20</t>
  </si>
  <si>
    <t xml:space="preserve">£101 (+1%)</t>
  </si>
  <si>
    <t xml:space="preserve">Dubhe-1 disappointing. No rig contract</t>
  </si>
  <si>
    <t xml:space="preserve">Investegate RNS: 'Rig contracted for Dubhe-1 retest'</t>
  </si>
  <si>
    <t xml:space="preserve">When RNS drops</t>
  </si>
  <si>
    <t xml:space="preserve">SIMILAR — buy confirmation not hope</t>
  </si>
  <si>
    <t xml:space="preserve">📅 Investegate alert: PANR</t>
  </si>
  <si>
    <t xml:space="preserve">£120 (+20%)</t>
  </si>
  <si>
    <t xml:space="preserve">Profit taken. No near-term catalyst</t>
  </si>
  <si>
    <t xml:space="preserve">Investegate RNS: 'Namibia farmout partner confirmed'</t>
  </si>
  <si>
    <t xml:space="preserve">55-65p</t>
  </si>
  <si>
    <t xml:space="preserve">CHEAPER — retrace during quiet period</t>
  </si>
  <si>
    <t xml:space="preserve">📅 Investegate alert: ECO</t>
  </si>
  <si>
    <t xml:space="preserve">£641 (+2%)</t>
  </si>
  <si>
    <t xml:space="preserve">Permanently removed. Redundant</t>
  </si>
  <si>
    <t xml:space="preserve">DO NOT RE-ENTER. SQZ is the better UK play</t>
  </si>
  <si>
    <t xml:space="preserve">NEVER</t>
  </si>
  <si>
    <t xml:space="preserve">❌ No reminder needed</t>
  </si>
  <si>
    <t xml:space="preserve">ENQ</t>
  </si>
  <si>
    <t xml:space="preserve">Stopped out</t>
  </si>
  <si>
    <t xml:space="preserve">Stop-loss triggered at 9p on ceasefire</t>
  </si>
  <si>
    <t xml:space="preserve">If Serica merger COLLAPSES: re-enter ENQ standalone</t>
  </si>
  <si>
    <t xml:space="preserve">If merger fails</t>
  </si>
  <si>
    <t xml:space="preserve">10-12p</t>
  </si>
  <si>
    <t xml:space="preserve">CHEAPER than original 13p</t>
  </si>
  <si>
    <t xml:space="preserve">📅 Investegate alert: ENQ</t>
  </si>
  <si>
    <t xml:space="preserve">VLCC rates collapsed on ceasefire</t>
  </si>
  <si>
    <t xml:space="preserve">Oil back above $100 + strait re-closes</t>
  </si>
  <si>
    <t xml:space="preserve">If war resumes</t>
  </si>
  <si>
    <t xml:space="preserve">CHEAPER than original $33.78</t>
  </si>
  <si>
    <t xml:space="preserve">📅 Google Alert: Hormuz closed</t>
  </si>
  <si>
    <t xml:space="preserve">HELD POSITIONS — Q3/Q4 Catalysts (stocks you're holding THROUGH the quiet period)</t>
  </si>
  <si>
    <t xml:space="preserve">Q2 Catalyst</t>
  </si>
  <si>
    <t xml:space="preserve">Q3 Catalyst</t>
  </si>
  <si>
    <t xml:space="preserve">Q4 Catalyst</t>
  </si>
  <si>
    <t xml:space="preserve">Why held through dead zone</t>
  </si>
  <si>
    <t xml:space="preserve">Exit Trigger</t>
  </si>
  <si>
    <t xml:space="preserve">Partner discussions ongoing</t>
  </si>
  <si>
    <t xml:space="preserve">Deadline pressure builds. Industry interest</t>
  </si>
  <si>
    <t xml:space="preserve">Partner announcement OR licence expiry Dec 2026</t>
  </si>
  <si>
    <t xml:space="preserve">Pressure INCREASES monthly. Selling = missing the moment</t>
  </si>
  <si>
    <t xml:space="preserve">Partner RNS → sell 50%. No partner by Nov → reassess</t>
  </si>
  <si>
    <t xml:space="preserve">Sea Lion engineering + FPSO</t>
  </si>
  <si>
    <t xml:space="preserve">Drilling contracts. Navitas milestones</t>
  </si>
  <si>
    <t xml:space="preserve">Development progress continues</t>
  </si>
  <si>
    <t xml:space="preserve">Milestones are untimeable. Can't predict RNS dates</t>
  </si>
  <si>
    <t xml:space="preserve">If hits 100p → sell 30%. Trail rest at 15%</t>
  </si>
  <si>
    <t xml:space="preserve">El Romeral permits (could be Q2 or Q3)</t>
  </si>
  <si>
    <t xml:space="preserve">Drilling begins if permits Q2</t>
  </si>
  <si>
    <t xml:space="preserve">EU winter gas demand. TTF spikes</t>
  </si>
  <si>
    <t xml:space="preserve">Permit decision is binary and untimeable. Miss = disaster</t>
  </si>
  <si>
    <t xml:space="preserve">Permits granted → sell 30% on spike. Hold rest for drilling</t>
  </si>
  <si>
    <t xml:space="preserve">ENQ merger progress</t>
  </si>
  <si>
    <t xml:space="preserve">Institutional buying on index inclusion</t>
  </si>
  <si>
    <t xml:space="preserve">LSE uplisting triggers automatic buying. Must be holding</t>
  </si>
  <si>
    <t xml:space="preserve">Merger completes → hold combined entity. LSE listing → hold</t>
  </si>
  <si>
    <t xml:space="preserve">SMR programme updates</t>
  </si>
  <si>
    <t xml:space="preserve">UK site selection. Order book growth</t>
  </si>
  <si>
    <t xml:space="preserve">Multi-year structural position. Not a trade</t>
  </si>
  <si>
    <t xml:space="preserve">Trail at 15% from highs. Never sell entirely</t>
  </si>
  <si>
    <t xml:space="preserve">Uranium spot. SMR demand signals</t>
  </si>
  <si>
    <t xml:space="preserve">Supply deficit widens</t>
  </si>
  <si>
    <t xml:space="preserve">AI data centre nuclear contracts</t>
  </si>
  <si>
    <t xml:space="preserve">Physical uranium. No catalysts needed — price appreciation</t>
  </si>
  <si>
    <t xml:space="preserve">If uranium doubles → trim 30%. Hold core permanently</t>
  </si>
  <si>
    <t xml:space="preserve">NEW Q3/Q4 ROTATION CANDIDATES — Fund from Q2 profit-taking</t>
  </si>
  <si>
    <t xml:space="preserve">Entry Window</t>
  </si>
  <si>
    <t xml:space="preserve">Target Return</t>
  </si>
  <si>
    <t xml:space="preserve">Risk</t>
  </si>
  <si>
    <t xml:space="preserve">Fund From</t>
  </si>
  <si>
    <t xml:space="preserve">Oil Re-entry</t>
  </si>
  <si>
    <t xml:space="preserve">Late Jul</t>
  </si>
  <si>
    <t xml:space="preserve">Pipeline completion + first gas Sept</t>
  </si>
  <si>
    <t xml:space="preserve">2-4x</t>
  </si>
  <si>
    <t xml:space="preserve">AET/KOS profit-taking</t>
  </si>
  <si>
    <t xml:space="preserve">On rig RNS</t>
  </si>
  <si>
    <t xml:space="preserve">Dubhe-1 retest if rig confirmed</t>
  </si>
  <si>
    <t xml:space="preserve">2-5x</t>
  </si>
  <si>
    <t xml:space="preserve">GKP profit if intl pricing</t>
  </si>
  <si>
    <t xml:space="preserve">Eco Atlantic</t>
  </si>
  <si>
    <t xml:space="preserve">On farmout RNS</t>
  </si>
  <si>
    <t xml:space="preserve">Namibia partner confirmation</t>
  </si>
  <si>
    <t xml:space="preserve">3-5x</t>
  </si>
  <si>
    <t xml:space="preserve">JSE profit if 45p+ hit</t>
  </si>
  <si>
    <t xml:space="preserve">LEU</t>
  </si>
  <si>
    <t xml:space="preserve">Centrus Energy</t>
  </si>
  <si>
    <t xml:space="preserve">Aug</t>
  </si>
  <si>
    <t xml:space="preserve">22.7% short interest. HALEU production</t>
  </si>
  <si>
    <t xml:space="preserve">50-150%</t>
  </si>
  <si>
    <t xml:space="preserve">YCA profit-taking</t>
  </si>
  <si>
    <t xml:space="preserve">Copper/AI</t>
  </si>
  <si>
    <t xml:space="preserve">FCX</t>
  </si>
  <si>
    <t xml:space="preserve">Freeport-McMoRan</t>
  </si>
  <si>
    <t xml:space="preserve">Jul-Aug</t>
  </si>
  <si>
    <t xml:space="preserve">Copper supply deficit. AI power demand</t>
  </si>
  <si>
    <t xml:space="preserve">20-40%</t>
  </si>
  <si>
    <t xml:space="preserve">MOD</t>
  </si>
  <si>
    <t xml:space="preserve">Cash reserve</t>
  </si>
  <si>
    <t xml:space="preserve">CHG</t>
  </si>
  <si>
    <t xml:space="preserve">Chemring Group</t>
  </si>
  <si>
    <t xml:space="preserve">Munitions demand. NATO restocking</t>
  </si>
  <si>
    <t xml:space="preserve">BAE profit-taking</t>
  </si>
  <si>
    <t xml:space="preserve">Gold</t>
  </si>
  <si>
    <t xml:space="preserve">EDV</t>
  </si>
  <si>
    <t xml:space="preserve">Endeavour Mining</t>
  </si>
  <si>
    <t xml:space="preserve">West African gold. Dividends. Hormuz-immune</t>
  </si>
  <si>
    <t xml:space="preserve">25-40%</t>
  </si>
  <si>
    <t xml:space="preserve">FRES profit-taking</t>
  </si>
  <si>
    <t xml:space="preserve">Lithium</t>
  </si>
  <si>
    <t xml:space="preserve">ALTA</t>
  </si>
  <si>
    <t xml:space="preserve">Arcadium Lithium</t>
  </si>
  <si>
    <t xml:space="preserve">Sep-Oct</t>
  </si>
  <si>
    <t xml:space="preserve">Price recovery from 2025 lows. EV demand</t>
  </si>
  <si>
    <t xml:space="preserve">30-80%</t>
  </si>
  <si>
    <t xml:space="preserve">MONTH-BY-MONTH CALENDAR — Set these reminders NOW</t>
  </si>
  <si>
    <t xml:space="preserve">Month</t>
  </si>
  <si>
    <t xml:space="preserve">Check</t>
  </si>
  <si>
    <t xml:space="preserve">Action if YES</t>
  </si>
  <si>
    <t xml:space="preserve">Action if NO</t>
  </si>
  <si>
    <t xml:space="preserve">Reminder</t>
  </si>
  <si>
    <t xml:space="preserve">Has ceasefire collapsed / oil &gt;$100?</t>
  </si>
  <si>
    <t xml:space="preserve">Deploy £313 cash into IMPP+FRO</t>
  </si>
  <si>
    <t xml:space="preserve">Hold course. Add to clean energy</t>
  </si>
  <si>
    <t xml:space="preserve">📅 Sunday Apr 20</t>
  </si>
  <si>
    <t xml:space="preserve">GKP dividend received?</t>
  </si>
  <si>
    <t xml:space="preserve">Reinvest into RR. or SQZ</t>
  </si>
  <si>
    <t xml:space="preserve">Check FreeTrade — should arrive by end of week</t>
  </si>
  <si>
    <t xml:space="preserve">📅 Apr 27</t>
  </si>
  <si>
    <t xml:space="preserve">KOS earnings — GTA LNG confirmed?</t>
  </si>
  <si>
    <t xml:space="preserve">If $4+ sell 30%. Trail rest</t>
  </si>
  <si>
    <t xml:space="preserve">If disappointing, reassess KOS position</t>
  </si>
  <si>
    <t xml:space="preserve">📅 May 12</t>
  </si>
  <si>
    <t xml:space="preserve">IMPP earnings (if still holding)</t>
  </si>
  <si>
    <t xml:space="preserve">If $8+ sell 30%. If $12+ sell 60%</t>
  </si>
  <si>
    <t xml:space="preserve">Hold remaining half position</t>
  </si>
  <si>
    <t xml:space="preserve">📅 May 22</t>
  </si>
  <si>
    <t xml:space="preserve">Is oil still &gt;$90?</t>
  </si>
  <si>
    <t xml:space="preserve">Hold oil positions 2 more weeks</t>
  </si>
  <si>
    <t xml:space="preserve">Begin systematic exit of oil-only positions</t>
  </si>
  <si>
    <t xml:space="preserve">📅 Jun 20</t>
  </si>
  <si>
    <t xml:space="preserve">EXIT DEADLINE — Ukraine precedent</t>
  </si>
  <si>
    <t xml:space="preserve">Sell oil positions to 20-30% trail. Keep clean energy</t>
  </si>
  <si>
    <t xml:space="preserve">📅 Jun 28</t>
  </si>
  <si>
    <t xml:space="preserve">Jul 1</t>
  </si>
  <si>
    <t xml:space="preserve">Q3 rotation begins</t>
  </si>
  <si>
    <t xml:space="preserve">Start building: FCX, CHG, EDV positions</t>
  </si>
  <si>
    <t xml:space="preserve">Wait if market uncertain</t>
  </si>
  <si>
    <t xml:space="preserve">📅 Jul 1</t>
  </si>
  <si>
    <t xml:space="preserve">Jul 20</t>
  </si>
  <si>
    <t xml:space="preserve">AEX re-entry window opens</t>
  </si>
  <si>
    <t xml:space="preserve">Check Aminex. Pipeline completion imminent?</t>
  </si>
  <si>
    <t xml:space="preserve">Wait for pipeline RNS</t>
  </si>
  <si>
    <t xml:space="preserve">📅 Jul 20</t>
  </si>
  <si>
    <t xml:space="preserve">Uranium play window</t>
  </si>
  <si>
    <t xml:space="preserve">Check LEU. Short interest still &gt;20%?</t>
  </si>
  <si>
    <t xml:space="preserve">If short interest dropped, skip LEU</t>
  </si>
  <si>
    <t xml:space="preserve">📅 Aug 1</t>
  </si>
  <si>
    <t xml:space="preserve">Sep</t>
  </si>
  <si>
    <t xml:space="preserve">AEX first gas due. Lithium entry window</t>
  </si>
  <si>
    <t xml:space="preserve">Buy ALTA if lithium bottomed</t>
  </si>
  <si>
    <t xml:space="preserve">Skip if lithium still falling</t>
  </si>
  <si>
    <t xml:space="preserve">📅 Sep 1</t>
  </si>
  <si>
    <t xml:space="preserve">Nov</t>
  </si>
  <si>
    <t xml:space="preserve">BOR partner deadline approaching</t>
  </si>
  <si>
    <t xml:space="preserve">Is there a partner? Decision time</t>
  </si>
  <si>
    <t xml:space="preserve">If no partner by Nov, reassess. Consider selling</t>
  </si>
  <si>
    <t xml:space="preserve">📅 Nov 1</t>
  </si>
  <si>
    <t xml:space="preserve">FULL YEAR REVIEW</t>
  </si>
  <si>
    <t xml:space="preserve">Assess total 2026 P&amp;L. Tax-loss harvest. Plan 2027</t>
  </si>
  <si>
    <t xml:space="preserve">Close dead positions for tax offset</t>
  </si>
  <si>
    <t xml:space="preserve">📅 Dec 15</t>
  </si>
  <si>
    <t xml:space="preserve">THE GOLDEN RULE: Buy confirmation, not hope. Every re-entry needs a specific RNS trigger, not a calendar date.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</si>
</sst>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\£#,##0"/>
    <numFmt numFmtId="167" formatCode="0.0\x"/>
    <numFmt numFmtId="168" formatCode="\£#,##0;&quot;(£&quot;#,##0\);\-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A4A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8"/>
      <color rgb="FFDC2626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0"/>
      <color rgb="FF0D9488"/>
      <name val="Arial"/>
      <family val="0"/>
      <charset val="1"/>
    </font>
    <font>
      <i val="true"/>
      <sz val="9"/>
      <color rgb="FFDC262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3F4F6"/>
        <bgColor rgb="FFEDE9FE"/>
      </patternFill>
    </fill>
    <fill>
      <patternFill patternType="solid">
        <fgColor rgb="FF1B2A4A"/>
        <bgColor rgb="FF003366"/>
      </patternFill>
    </fill>
    <fill>
      <patternFill patternType="solid">
        <fgColor rgb="FFDCFCE7"/>
        <bgColor rgb="FFD1FAE5"/>
      </patternFill>
    </fill>
    <fill>
      <patternFill patternType="solid">
        <fgColor rgb="FFFEE2E2"/>
        <bgColor rgb="FFEDE9FE"/>
      </patternFill>
    </fill>
    <fill>
      <patternFill patternType="solid">
        <fgColor rgb="FFE0E7FF"/>
        <bgColor rgb="FFDBEAFE"/>
      </patternFill>
    </fill>
    <fill>
      <patternFill patternType="solid">
        <fgColor rgb="FFDBEAFE"/>
        <bgColor rgb="FFE0E7FF"/>
      </patternFill>
    </fill>
    <fill>
      <patternFill patternType="solid">
        <fgColor rgb="FFEDE9FE"/>
        <bgColor rgb="FFE0E7FF"/>
      </patternFill>
    </fill>
    <fill>
      <patternFill patternType="solid">
        <fgColor rgb="FFFEF9C3"/>
        <bgColor rgb="FFFEF3C7"/>
      </patternFill>
    </fill>
    <fill>
      <patternFill patternType="solid">
        <fgColor rgb="FFFECACA"/>
        <bgColor rgb="FFFEE2E2"/>
      </patternFill>
    </fill>
    <fill>
      <patternFill patternType="solid">
        <fgColor rgb="FFFEF3C7"/>
        <bgColor rgb="FFFEF9C3"/>
      </patternFill>
    </fill>
    <fill>
      <patternFill patternType="solid">
        <fgColor rgb="FFD1FAE5"/>
        <bgColor rgb="FFDCFC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ck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CCCCC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EDE9FE"/>
      <rgbColor rgb="FFFEE2E2"/>
      <rgbColor rgb="FFF3F4F6"/>
      <rgbColor rgb="FFFECACA"/>
      <rgbColor rgb="FF3B82F6"/>
      <rgbColor rgb="FF33CCCC"/>
      <rgbColor rgb="FF99CC00"/>
      <rgbColor rgb="FFFFCC00"/>
      <rgbColor rgb="FFD4A843"/>
      <rgbColor rgb="FFFF6600"/>
      <rgbColor rgb="FF666666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P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7" min="6" style="1" width="7"/>
    <col collapsed="false" customWidth="true" hidden="false" outlineLevel="0" max="9" min="8" style="1" width="8"/>
    <col collapsed="false" customWidth="true" hidden="false" outlineLevel="0" max="10" min="10" style="1" width="6"/>
    <col collapsed="false" customWidth="true" hidden="false" outlineLevel="0" max="11" min="11" style="1" width="26"/>
    <col collapsed="false" customWidth="true" hidden="false" outlineLevel="0" max="12" min="12" style="1" width="5"/>
    <col collapsed="false" customWidth="true" hidden="false" outlineLevel="0" max="13" min="13" style="1" width="26"/>
    <col collapsed="false" customWidth="true" hidden="false" outlineLevel="0" max="14" min="14" style="1" width="5"/>
    <col collapsed="false" customWidth="true" hidden="false" outlineLevel="0" max="15" min="15" style="1" width="18"/>
    <col collapsed="false" customWidth="true" hidden="false" outlineLevel="0" max="16" min="16" style="1" width="12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7" customFormat="false" ht="32.25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15</v>
      </c>
      <c r="O7" s="6" t="s">
        <v>17</v>
      </c>
      <c r="P7" s="6" t="s">
        <v>18</v>
      </c>
    </row>
    <row r="8" customFormat="false" ht="21.75" hidden="false" customHeight="true" outlineLevel="0" collapsed="false">
      <c r="A8" s="7" t="s">
        <v>19</v>
      </c>
      <c r="B8" s="7" t="s">
        <v>20</v>
      </c>
      <c r="C8" s="7" t="s">
        <v>21</v>
      </c>
      <c r="D8" s="8" t="s">
        <v>22</v>
      </c>
      <c r="E8" s="7" t="n">
        <v>1400</v>
      </c>
      <c r="F8" s="8" t="s">
        <v>23</v>
      </c>
      <c r="G8" s="8" t="s">
        <v>24</v>
      </c>
      <c r="H8" s="8" t="s">
        <v>25</v>
      </c>
      <c r="I8" s="8" t="s">
        <v>25</v>
      </c>
      <c r="J8" s="8" t="s">
        <v>26</v>
      </c>
      <c r="K8" s="8" t="s">
        <v>27</v>
      </c>
      <c r="L8" s="9" t="n">
        <v>0.65</v>
      </c>
      <c r="M8" s="8" t="s">
        <v>28</v>
      </c>
      <c r="N8" s="9" t="n">
        <v>0.7</v>
      </c>
      <c r="O8" s="8" t="s">
        <v>29</v>
      </c>
      <c r="P8" s="7" t="s">
        <v>30</v>
      </c>
    </row>
    <row r="9" customFormat="false" ht="32.25" hidden="false" customHeight="true" outlineLevel="0" collapsed="false">
      <c r="A9" s="7" t="s">
        <v>19</v>
      </c>
      <c r="B9" s="7" t="s">
        <v>31</v>
      </c>
      <c r="C9" s="7" t="s">
        <v>32</v>
      </c>
      <c r="D9" s="8" t="s">
        <v>33</v>
      </c>
      <c r="E9" s="7" t="n">
        <v>850</v>
      </c>
      <c r="F9" s="8" t="s">
        <v>34</v>
      </c>
      <c r="G9" s="8" t="s">
        <v>35</v>
      </c>
      <c r="H9" s="8" t="s">
        <v>25</v>
      </c>
      <c r="I9" s="8" t="s">
        <v>36</v>
      </c>
      <c r="J9" s="10" t="s">
        <v>37</v>
      </c>
      <c r="K9" s="8" t="s">
        <v>38</v>
      </c>
      <c r="L9" s="9" t="n">
        <v>0.95</v>
      </c>
      <c r="M9" s="8" t="s">
        <v>39</v>
      </c>
      <c r="N9" s="9" t="n">
        <v>0.65</v>
      </c>
      <c r="O9" s="8" t="s">
        <v>40</v>
      </c>
      <c r="P9" s="7" t="s">
        <v>41</v>
      </c>
    </row>
    <row r="10" customFormat="false" ht="32.25" hidden="false" customHeight="true" outlineLevel="0" collapsed="false">
      <c r="A10" s="7" t="s">
        <v>19</v>
      </c>
      <c r="B10" s="7" t="s">
        <v>42</v>
      </c>
      <c r="C10" s="7" t="s">
        <v>43</v>
      </c>
      <c r="D10" s="8" t="s">
        <v>44</v>
      </c>
      <c r="E10" s="7" t="n">
        <v>500</v>
      </c>
      <c r="F10" s="8" t="s">
        <v>45</v>
      </c>
      <c r="G10" s="8" t="s">
        <v>46</v>
      </c>
      <c r="H10" s="8" t="s">
        <v>25</v>
      </c>
      <c r="I10" s="8" t="s">
        <v>47</v>
      </c>
      <c r="J10" s="11" t="s">
        <v>48</v>
      </c>
      <c r="K10" s="8" t="s">
        <v>49</v>
      </c>
      <c r="L10" s="9" t="n">
        <v>0.85</v>
      </c>
      <c r="M10" s="8" t="s">
        <v>50</v>
      </c>
      <c r="N10" s="9" t="n">
        <v>0.75</v>
      </c>
      <c r="O10" s="8" t="s">
        <v>51</v>
      </c>
      <c r="P10" s="7" t="s">
        <v>52</v>
      </c>
    </row>
    <row r="11" customFormat="false" ht="32.25" hidden="false" customHeight="true" outlineLevel="0" collapsed="false">
      <c r="A11" s="7" t="s">
        <v>19</v>
      </c>
      <c r="B11" s="7" t="s">
        <v>53</v>
      </c>
      <c r="C11" s="7" t="s">
        <v>54</v>
      </c>
      <c r="D11" s="8" t="s">
        <v>55</v>
      </c>
      <c r="E11" s="7" t="n">
        <v>500</v>
      </c>
      <c r="F11" s="8" t="s">
        <v>56</v>
      </c>
      <c r="G11" s="8" t="s">
        <v>57</v>
      </c>
      <c r="H11" s="8" t="s">
        <v>25</v>
      </c>
      <c r="I11" s="8" t="s">
        <v>47</v>
      </c>
      <c r="J11" s="11" t="s">
        <v>48</v>
      </c>
      <c r="K11" s="8" t="s">
        <v>58</v>
      </c>
      <c r="L11" s="9" t="n">
        <v>1</v>
      </c>
      <c r="M11" s="8" t="s">
        <v>59</v>
      </c>
      <c r="N11" s="9" t="n">
        <v>0.7</v>
      </c>
      <c r="O11" s="8" t="s">
        <v>60</v>
      </c>
      <c r="P11" s="7" t="s">
        <v>61</v>
      </c>
    </row>
    <row r="12" customFormat="false" ht="32.25" hidden="false" customHeight="true" outlineLevel="0" collapsed="false">
      <c r="A12" s="7" t="s">
        <v>62</v>
      </c>
      <c r="B12" s="7" t="s">
        <v>63</v>
      </c>
      <c r="C12" s="7" t="s">
        <v>64</v>
      </c>
      <c r="D12" s="8" t="s">
        <v>65</v>
      </c>
      <c r="E12" s="7" t="n">
        <v>250</v>
      </c>
      <c r="F12" s="8" t="s">
        <v>66</v>
      </c>
      <c r="G12" s="8" t="s">
        <v>67</v>
      </c>
      <c r="H12" s="8" t="s">
        <v>47</v>
      </c>
      <c r="I12" s="8" t="s">
        <v>47</v>
      </c>
      <c r="J12" s="8" t="s">
        <v>26</v>
      </c>
      <c r="K12" s="8" t="s">
        <v>68</v>
      </c>
      <c r="L12" s="9" t="n">
        <v>0.5</v>
      </c>
      <c r="M12" s="8" t="s">
        <v>69</v>
      </c>
      <c r="N12" s="9" t="n">
        <v>0.8</v>
      </c>
      <c r="O12" s="8" t="s">
        <v>70</v>
      </c>
      <c r="P12" s="7" t="s">
        <v>71</v>
      </c>
    </row>
    <row r="13" customFormat="false" ht="32.25" hidden="false" customHeight="true" outlineLevel="0" collapsed="false">
      <c r="A13" s="7" t="s">
        <v>72</v>
      </c>
      <c r="B13" s="7" t="s">
        <v>73</v>
      </c>
      <c r="C13" s="7" t="s">
        <v>74</v>
      </c>
      <c r="D13" s="8" t="s">
        <v>75</v>
      </c>
      <c r="E13" s="7" t="n">
        <v>97</v>
      </c>
      <c r="F13" s="8" t="s">
        <v>76</v>
      </c>
      <c r="G13" s="8" t="s">
        <v>77</v>
      </c>
      <c r="H13" s="8" t="s">
        <v>78</v>
      </c>
      <c r="I13" s="8" t="s">
        <v>78</v>
      </c>
      <c r="J13" s="8" t="s">
        <v>26</v>
      </c>
      <c r="K13" s="8" t="s">
        <v>79</v>
      </c>
      <c r="L13" s="9" t="n">
        <v>0.8</v>
      </c>
      <c r="M13" s="8" t="s">
        <v>80</v>
      </c>
      <c r="N13" s="9" t="n">
        <v>0.85</v>
      </c>
      <c r="O13" s="8" t="s">
        <v>81</v>
      </c>
      <c r="P13" s="7" t="s">
        <v>82</v>
      </c>
    </row>
    <row r="14" customFormat="false" ht="32.25" hidden="false" customHeight="true" outlineLevel="0" collapsed="false">
      <c r="A14" s="12" t="s">
        <v>83</v>
      </c>
      <c r="B14" s="12" t="s">
        <v>84</v>
      </c>
      <c r="C14" s="12" t="s">
        <v>85</v>
      </c>
      <c r="D14" s="13" t="s">
        <v>86</v>
      </c>
      <c r="E14" s="12" t="n">
        <v>0</v>
      </c>
      <c r="F14" s="13" t="s">
        <v>87</v>
      </c>
      <c r="G14" s="13" t="s">
        <v>88</v>
      </c>
      <c r="H14" s="13" t="s">
        <v>36</v>
      </c>
      <c r="I14" s="13" t="s">
        <v>47</v>
      </c>
      <c r="J14" s="14" t="s">
        <v>89</v>
      </c>
      <c r="K14" s="13" t="s">
        <v>90</v>
      </c>
      <c r="L14" s="15" t="n">
        <v>0.9</v>
      </c>
      <c r="M14" s="13" t="s">
        <v>91</v>
      </c>
      <c r="N14" s="15" t="n">
        <v>0.85</v>
      </c>
      <c r="O14" s="13" t="s">
        <v>92</v>
      </c>
      <c r="P14" s="12" t="s">
        <v>93</v>
      </c>
    </row>
    <row r="15" customFormat="false" ht="32.25" hidden="false" customHeight="true" outlineLevel="0" collapsed="false">
      <c r="A15" s="12" t="s">
        <v>83</v>
      </c>
      <c r="B15" s="12" t="s">
        <v>94</v>
      </c>
      <c r="C15" s="12" t="s">
        <v>95</v>
      </c>
      <c r="D15" s="13" t="s">
        <v>86</v>
      </c>
      <c r="E15" s="12" t="n">
        <v>0</v>
      </c>
      <c r="F15" s="13" t="s">
        <v>87</v>
      </c>
      <c r="G15" s="13" t="s">
        <v>96</v>
      </c>
      <c r="H15" s="13" t="s">
        <v>25</v>
      </c>
      <c r="I15" s="13" t="s">
        <v>97</v>
      </c>
      <c r="J15" s="14" t="s">
        <v>98</v>
      </c>
      <c r="K15" s="13" t="s">
        <v>99</v>
      </c>
      <c r="L15" s="15" t="n">
        <v>0.9</v>
      </c>
      <c r="M15" s="13" t="s">
        <v>100</v>
      </c>
      <c r="N15" s="15" t="n">
        <v>0.8</v>
      </c>
      <c r="O15" s="13" t="s">
        <v>101</v>
      </c>
      <c r="P15" s="12" t="s">
        <v>102</v>
      </c>
    </row>
    <row r="16" customFormat="false" ht="32.25" hidden="false" customHeight="true" outlineLevel="0" collapsed="false">
      <c r="A16" s="12" t="s">
        <v>83</v>
      </c>
      <c r="B16" s="12" t="s">
        <v>103</v>
      </c>
      <c r="C16" s="12" t="s">
        <v>104</v>
      </c>
      <c r="D16" s="13" t="s">
        <v>105</v>
      </c>
      <c r="E16" s="12" t="n">
        <v>0</v>
      </c>
      <c r="F16" s="13" t="s">
        <v>87</v>
      </c>
      <c r="G16" s="13" t="s">
        <v>106</v>
      </c>
      <c r="H16" s="13" t="s">
        <v>25</v>
      </c>
      <c r="I16" s="13" t="s">
        <v>47</v>
      </c>
      <c r="J16" s="14" t="s">
        <v>48</v>
      </c>
      <c r="K16" s="13" t="s">
        <v>107</v>
      </c>
      <c r="L16" s="15" t="n">
        <v>0.58</v>
      </c>
      <c r="M16" s="13" t="s">
        <v>108</v>
      </c>
      <c r="N16" s="15" t="n">
        <v>0.5</v>
      </c>
      <c r="O16" s="13" t="s">
        <v>109</v>
      </c>
      <c r="P16" s="12" t="s">
        <v>93</v>
      </c>
    </row>
    <row r="17" customFormat="false" ht="32.25" hidden="false" customHeight="true" outlineLevel="0" collapsed="false">
      <c r="A17" s="12" t="s">
        <v>83</v>
      </c>
      <c r="B17" s="12" t="s">
        <v>110</v>
      </c>
      <c r="C17" s="12" t="s">
        <v>111</v>
      </c>
      <c r="D17" s="13" t="s">
        <v>112</v>
      </c>
      <c r="E17" s="12" t="n">
        <v>0</v>
      </c>
      <c r="F17" s="13" t="s">
        <v>87</v>
      </c>
      <c r="G17" s="13" t="s">
        <v>113</v>
      </c>
      <c r="H17" s="13" t="s">
        <v>25</v>
      </c>
      <c r="I17" s="13" t="s">
        <v>47</v>
      </c>
      <c r="J17" s="14" t="s">
        <v>48</v>
      </c>
      <c r="K17" s="13" t="s">
        <v>114</v>
      </c>
      <c r="L17" s="15" t="n">
        <v>0.35</v>
      </c>
      <c r="M17" s="13" t="s">
        <v>115</v>
      </c>
      <c r="N17" s="15" t="n">
        <v>0.7</v>
      </c>
      <c r="O17" s="13" t="s">
        <v>116</v>
      </c>
      <c r="P17" s="12" t="s">
        <v>117</v>
      </c>
    </row>
    <row r="18" customFormat="false" ht="32.25" hidden="false" customHeight="true" outlineLevel="0" collapsed="false">
      <c r="A18" s="12" t="s">
        <v>83</v>
      </c>
      <c r="B18" s="12" t="s">
        <v>118</v>
      </c>
      <c r="C18" s="12" t="s">
        <v>119</v>
      </c>
      <c r="D18" s="13" t="s">
        <v>112</v>
      </c>
      <c r="E18" s="12" t="n">
        <v>0</v>
      </c>
      <c r="F18" s="13" t="s">
        <v>87</v>
      </c>
      <c r="G18" s="13" t="s">
        <v>120</v>
      </c>
      <c r="H18" s="13" t="s">
        <v>25</v>
      </c>
      <c r="I18" s="13" t="s">
        <v>47</v>
      </c>
      <c r="J18" s="14" t="s">
        <v>48</v>
      </c>
      <c r="K18" s="13" t="s">
        <v>121</v>
      </c>
      <c r="L18" s="15" t="n">
        <v>0.85</v>
      </c>
      <c r="M18" s="13" t="s">
        <v>122</v>
      </c>
      <c r="N18" s="15" t="n">
        <v>0.7</v>
      </c>
      <c r="O18" s="13" t="s">
        <v>123</v>
      </c>
      <c r="P18" s="12" t="s">
        <v>124</v>
      </c>
    </row>
    <row r="20" customFormat="false" ht="15" hidden="false" customHeight="true" outlineLevel="0" collapsed="false">
      <c r="A20" s="5" t="s">
        <v>125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2" customFormat="false" ht="32.25" hidden="false" customHeight="true" outlineLevel="0" collapsed="false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10</v>
      </c>
      <c r="H22" s="6" t="s">
        <v>11</v>
      </c>
      <c r="I22" s="6" t="s">
        <v>12</v>
      </c>
      <c r="J22" s="6" t="s">
        <v>13</v>
      </c>
      <c r="K22" s="6" t="s">
        <v>14</v>
      </c>
      <c r="L22" s="6" t="s">
        <v>15</v>
      </c>
      <c r="M22" s="6" t="s">
        <v>16</v>
      </c>
      <c r="N22" s="6" t="s">
        <v>15</v>
      </c>
      <c r="O22" s="6" t="s">
        <v>17</v>
      </c>
      <c r="P22" s="6" t="s">
        <v>18</v>
      </c>
    </row>
    <row r="23" customFormat="false" ht="21.75" hidden="false" customHeight="true" outlineLevel="0" collapsed="false">
      <c r="A23" s="16" t="s">
        <v>62</v>
      </c>
      <c r="B23" s="16" t="s">
        <v>126</v>
      </c>
      <c r="C23" s="16" t="s">
        <v>127</v>
      </c>
      <c r="D23" s="17" t="s">
        <v>128</v>
      </c>
      <c r="E23" s="16" t="n">
        <v>250</v>
      </c>
      <c r="F23" s="17" t="s">
        <v>129</v>
      </c>
      <c r="G23" s="17" t="s">
        <v>130</v>
      </c>
      <c r="H23" s="17" t="s">
        <v>131</v>
      </c>
      <c r="I23" s="17" t="s">
        <v>131</v>
      </c>
      <c r="J23" s="17" t="s">
        <v>87</v>
      </c>
      <c r="K23" s="17" t="s">
        <v>132</v>
      </c>
      <c r="L23" s="18" t="n">
        <v>0.85</v>
      </c>
      <c r="M23" s="17" t="s">
        <v>133</v>
      </c>
      <c r="N23" s="18" t="n">
        <v>0.9</v>
      </c>
      <c r="O23" s="17" t="s">
        <v>134</v>
      </c>
      <c r="P23" s="16" t="s">
        <v>135</v>
      </c>
    </row>
    <row r="24" customFormat="false" ht="21.75" hidden="false" customHeight="true" outlineLevel="0" collapsed="false">
      <c r="A24" s="16" t="s">
        <v>19</v>
      </c>
      <c r="B24" s="16" t="s">
        <v>136</v>
      </c>
      <c r="C24" s="16" t="s">
        <v>137</v>
      </c>
      <c r="D24" s="17" t="s">
        <v>138</v>
      </c>
      <c r="E24" s="16" t="n">
        <v>200</v>
      </c>
      <c r="F24" s="17" t="s">
        <v>129</v>
      </c>
      <c r="G24" s="17" t="s">
        <v>130</v>
      </c>
      <c r="H24" s="17" t="s">
        <v>131</v>
      </c>
      <c r="I24" s="17" t="s">
        <v>131</v>
      </c>
      <c r="J24" s="17" t="s">
        <v>87</v>
      </c>
      <c r="K24" s="17" t="s">
        <v>139</v>
      </c>
      <c r="L24" s="18" t="n">
        <v>0.75</v>
      </c>
      <c r="M24" s="17" t="s">
        <v>140</v>
      </c>
      <c r="N24" s="18" t="n">
        <v>0.8</v>
      </c>
      <c r="O24" s="17" t="s">
        <v>141</v>
      </c>
      <c r="P24" s="16" t="s">
        <v>19</v>
      </c>
    </row>
    <row r="25" customFormat="false" ht="32.25" hidden="false" customHeight="true" outlineLevel="0" collapsed="false">
      <c r="A25" s="19" t="s">
        <v>62</v>
      </c>
      <c r="B25" s="19" t="s">
        <v>142</v>
      </c>
      <c r="C25" s="19" t="s">
        <v>143</v>
      </c>
      <c r="D25" s="20" t="s">
        <v>144</v>
      </c>
      <c r="E25" s="19" t="n">
        <v>200</v>
      </c>
      <c r="F25" s="20" t="s">
        <v>145</v>
      </c>
      <c r="G25" s="20" t="s">
        <v>146</v>
      </c>
      <c r="H25" s="20" t="s">
        <v>131</v>
      </c>
      <c r="I25" s="20" t="s">
        <v>131</v>
      </c>
      <c r="J25" s="20" t="s">
        <v>87</v>
      </c>
      <c r="K25" s="20" t="s">
        <v>147</v>
      </c>
      <c r="L25" s="21" t="n">
        <v>0.9</v>
      </c>
      <c r="M25" s="20" t="s">
        <v>148</v>
      </c>
      <c r="N25" s="21" t="n">
        <v>0.95</v>
      </c>
      <c r="O25" s="20" t="s">
        <v>149</v>
      </c>
      <c r="P25" s="19" t="s">
        <v>150</v>
      </c>
    </row>
    <row r="26" customFormat="false" ht="32.25" hidden="false" customHeight="true" outlineLevel="0" collapsed="false">
      <c r="A26" s="19" t="s">
        <v>62</v>
      </c>
      <c r="B26" s="19" t="s">
        <v>151</v>
      </c>
      <c r="C26" s="19" t="s">
        <v>152</v>
      </c>
      <c r="D26" s="20" t="s">
        <v>153</v>
      </c>
      <c r="E26" s="19" t="n">
        <v>150</v>
      </c>
      <c r="F26" s="20" t="s">
        <v>154</v>
      </c>
      <c r="G26" s="20" t="s">
        <v>155</v>
      </c>
      <c r="H26" s="20" t="s">
        <v>131</v>
      </c>
      <c r="I26" s="20" t="s">
        <v>131</v>
      </c>
      <c r="J26" s="20" t="s">
        <v>87</v>
      </c>
      <c r="K26" s="20" t="s">
        <v>156</v>
      </c>
      <c r="L26" s="21" t="n">
        <v>0.85</v>
      </c>
      <c r="M26" s="20" t="s">
        <v>157</v>
      </c>
      <c r="N26" s="21" t="n">
        <v>0.8</v>
      </c>
      <c r="O26" s="20" t="s">
        <v>158</v>
      </c>
      <c r="P26" s="19" t="s">
        <v>159</v>
      </c>
    </row>
    <row r="27" customFormat="false" ht="21.75" hidden="false" customHeight="true" outlineLevel="0" collapsed="false">
      <c r="A27" s="19" t="s">
        <v>62</v>
      </c>
      <c r="B27" s="19" t="s">
        <v>160</v>
      </c>
      <c r="C27" s="19" t="s">
        <v>161</v>
      </c>
      <c r="D27" s="20" t="s">
        <v>162</v>
      </c>
      <c r="E27" s="19" t="n">
        <v>100</v>
      </c>
      <c r="F27" s="20" t="s">
        <v>163</v>
      </c>
      <c r="G27" s="20" t="s">
        <v>164</v>
      </c>
      <c r="H27" s="20" t="s">
        <v>131</v>
      </c>
      <c r="I27" s="20" t="s">
        <v>131</v>
      </c>
      <c r="J27" s="20" t="s">
        <v>87</v>
      </c>
      <c r="K27" s="20" t="s">
        <v>165</v>
      </c>
      <c r="L27" s="21" t="n">
        <v>0.55</v>
      </c>
      <c r="M27" s="20" t="s">
        <v>166</v>
      </c>
      <c r="N27" s="21" t="n">
        <v>0.6</v>
      </c>
      <c r="O27" s="20" t="s">
        <v>167</v>
      </c>
      <c r="P27" s="19" t="s">
        <v>168</v>
      </c>
    </row>
    <row r="29" customFormat="false" ht="15" hidden="false" customHeight="true" outlineLevel="0" collapsed="false">
      <c r="A29" s="5" t="s">
        <v>169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1" customFormat="false" ht="32.25" hidden="false" customHeight="true" outlineLevel="0" collapsed="false">
      <c r="A31" s="6" t="s">
        <v>4</v>
      </c>
      <c r="B31" s="6" t="s">
        <v>5</v>
      </c>
      <c r="C31" s="6" t="s">
        <v>6</v>
      </c>
      <c r="D31" s="6" t="s">
        <v>7</v>
      </c>
      <c r="E31" s="6" t="s">
        <v>8</v>
      </c>
      <c r="F31" s="6" t="s">
        <v>9</v>
      </c>
      <c r="G31" s="6" t="s">
        <v>10</v>
      </c>
      <c r="H31" s="6" t="s">
        <v>11</v>
      </c>
      <c r="I31" s="6" t="s">
        <v>12</v>
      </c>
      <c r="J31" s="6" t="s">
        <v>13</v>
      </c>
      <c r="K31" s="6" t="s">
        <v>14</v>
      </c>
      <c r="L31" s="6" t="s">
        <v>15</v>
      </c>
      <c r="M31" s="6" t="s">
        <v>16</v>
      </c>
      <c r="N31" s="6" t="s">
        <v>15</v>
      </c>
      <c r="O31" s="6" t="s">
        <v>17</v>
      </c>
      <c r="P31" s="6" t="s">
        <v>18</v>
      </c>
    </row>
    <row r="32" customFormat="false" ht="32.25" hidden="false" customHeight="true" outlineLevel="0" collapsed="false">
      <c r="A32" s="22" t="s">
        <v>19</v>
      </c>
      <c r="B32" s="22" t="s">
        <v>170</v>
      </c>
      <c r="C32" s="22" t="s">
        <v>171</v>
      </c>
      <c r="D32" s="23" t="s">
        <v>172</v>
      </c>
      <c r="E32" s="22" t="n">
        <v>450</v>
      </c>
      <c r="F32" s="23" t="s">
        <v>173</v>
      </c>
      <c r="G32" s="23" t="s">
        <v>174</v>
      </c>
      <c r="H32" s="23" t="s">
        <v>131</v>
      </c>
      <c r="I32" s="23" t="s">
        <v>131</v>
      </c>
      <c r="J32" s="23" t="s">
        <v>87</v>
      </c>
      <c r="K32" s="23" t="s">
        <v>175</v>
      </c>
      <c r="L32" s="24" t="n">
        <v>0.9</v>
      </c>
      <c r="M32" s="23" t="s">
        <v>176</v>
      </c>
      <c r="N32" s="24" t="n">
        <v>0.85</v>
      </c>
      <c r="O32" s="23" t="s">
        <v>177</v>
      </c>
      <c r="P32" s="22" t="s">
        <v>178</v>
      </c>
    </row>
    <row r="33" customFormat="false" ht="32.25" hidden="false" customHeight="true" outlineLevel="0" collapsed="false">
      <c r="A33" s="25" t="s">
        <v>19</v>
      </c>
      <c r="B33" s="25" t="s">
        <v>179</v>
      </c>
      <c r="C33" s="25" t="s">
        <v>180</v>
      </c>
      <c r="D33" s="26" t="s">
        <v>181</v>
      </c>
      <c r="E33" s="25" t="n">
        <v>300</v>
      </c>
      <c r="F33" s="26" t="s">
        <v>182</v>
      </c>
      <c r="G33" s="26" t="s">
        <v>182</v>
      </c>
      <c r="H33" s="26" t="s">
        <v>131</v>
      </c>
      <c r="I33" s="26" t="s">
        <v>131</v>
      </c>
      <c r="J33" s="26" t="s">
        <v>87</v>
      </c>
      <c r="K33" s="26" t="s">
        <v>183</v>
      </c>
      <c r="L33" s="27" t="n">
        <v>0.8</v>
      </c>
      <c r="M33" s="26" t="s">
        <v>184</v>
      </c>
      <c r="N33" s="27" t="n">
        <v>0.75</v>
      </c>
      <c r="O33" s="26" t="s">
        <v>185</v>
      </c>
      <c r="P33" s="25" t="s">
        <v>186</v>
      </c>
    </row>
    <row r="35" customFormat="false" ht="15" hidden="false" customHeight="true" outlineLevel="0" collapsed="false">
      <c r="A35" s="5" t="s">
        <v>187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7" customFormat="false" ht="32.25" hidden="false" customHeight="true" outlineLevel="0" collapsed="false">
      <c r="A37" s="28" t="s">
        <v>188</v>
      </c>
      <c r="B37" s="28" t="s">
        <v>87</v>
      </c>
      <c r="C37" s="28" t="s">
        <v>189</v>
      </c>
      <c r="D37" s="29" t="s">
        <v>190</v>
      </c>
      <c r="E37" s="28" t="n">
        <v>750</v>
      </c>
      <c r="F37" s="29" t="s">
        <v>87</v>
      </c>
      <c r="G37" s="29" t="s">
        <v>87</v>
      </c>
      <c r="H37" s="29" t="s">
        <v>87</v>
      </c>
      <c r="I37" s="29" t="s">
        <v>87</v>
      </c>
      <c r="J37" s="29" t="s">
        <v>87</v>
      </c>
      <c r="K37" s="29" t="s">
        <v>191</v>
      </c>
      <c r="L37" s="29" t="s">
        <v>87</v>
      </c>
      <c r="M37" s="29" t="s">
        <v>192</v>
      </c>
      <c r="N37" s="29" t="s">
        <v>87</v>
      </c>
      <c r="O37" s="29" t="s">
        <v>193</v>
      </c>
      <c r="P37" s="28" t="s">
        <v>194</v>
      </c>
    </row>
    <row r="39" customFormat="false" ht="51.75" hidden="false" customHeight="true" outlineLevel="0" collapsed="false">
      <c r="B39" s="30" t="s">
        <v>195</v>
      </c>
      <c r="E39" s="31" t="n">
        <v>6250</v>
      </c>
    </row>
    <row r="40" customFormat="false" ht="39" hidden="false" customHeight="true" outlineLevel="0" collapsed="false">
      <c r="B40" s="30" t="s">
        <v>196</v>
      </c>
      <c r="E40" s="31" t="n">
        <v>750</v>
      </c>
    </row>
    <row r="41" customFormat="false" ht="39" hidden="false" customHeight="true" outlineLevel="0" collapsed="false">
      <c r="B41" s="30" t="s">
        <v>197</v>
      </c>
      <c r="E41" s="31" t="n">
        <v>7000</v>
      </c>
    </row>
  </sheetData>
  <mergeCells count="7">
    <mergeCell ref="A1:P1"/>
    <mergeCell ref="A2:P2"/>
    <mergeCell ref="A3:P3"/>
    <mergeCell ref="A5:P5"/>
    <mergeCell ref="A20:P20"/>
    <mergeCell ref="A29:P29"/>
    <mergeCell ref="A35:P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12" min="4" style="1" width="9"/>
  </cols>
  <sheetData>
    <row r="1" customFormat="false" ht="15.75" hidden="false" customHeight="true" outlineLevel="0" collapsed="false">
      <c r="A1" s="2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53.25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200</v>
      </c>
      <c r="E3" s="6" t="s">
        <v>201</v>
      </c>
      <c r="F3" s="6" t="s">
        <v>202</v>
      </c>
      <c r="G3" s="6" t="s">
        <v>203</v>
      </c>
      <c r="H3" s="6" t="s">
        <v>204</v>
      </c>
      <c r="I3" s="6" t="s">
        <v>205</v>
      </c>
      <c r="J3" s="6" t="s">
        <v>206</v>
      </c>
      <c r="K3" s="6" t="s">
        <v>207</v>
      </c>
      <c r="L3" s="6" t="s">
        <v>208</v>
      </c>
    </row>
    <row r="4" customFormat="false" ht="15" hidden="false" customHeight="true" outlineLevel="0" collapsed="false">
      <c r="A4" s="7" t="s">
        <v>20</v>
      </c>
      <c r="B4" s="8" t="s">
        <v>21</v>
      </c>
      <c r="C4" s="8" t="s">
        <v>22</v>
      </c>
      <c r="D4" s="32" t="n">
        <v>1400</v>
      </c>
      <c r="E4" s="33" t="n">
        <v>0.8</v>
      </c>
      <c r="F4" s="33" t="n">
        <v>1.4</v>
      </c>
      <c r="G4" s="33" t="n">
        <v>2</v>
      </c>
      <c r="H4" s="33" t="n">
        <v>2.5</v>
      </c>
      <c r="I4" s="34" t="n">
        <f aca="false">D4*E4</f>
        <v>1120</v>
      </c>
      <c r="J4" s="34" t="n">
        <f aca="false">D4*F4</f>
        <v>1960</v>
      </c>
      <c r="K4" s="34" t="n">
        <f aca="false">D4*G4</f>
        <v>2800</v>
      </c>
      <c r="L4" s="34" t="n">
        <f aca="false">D4*H4</f>
        <v>3500</v>
      </c>
    </row>
    <row r="5" customFormat="false" ht="21.75" hidden="false" customHeight="true" outlineLevel="0" collapsed="false">
      <c r="A5" s="7" t="s">
        <v>31</v>
      </c>
      <c r="B5" s="8" t="s">
        <v>32</v>
      </c>
      <c r="C5" s="8" t="s">
        <v>33</v>
      </c>
      <c r="D5" s="32" t="n">
        <v>850</v>
      </c>
      <c r="E5" s="33" t="n">
        <v>1.2</v>
      </c>
      <c r="F5" s="33" t="n">
        <v>1.6</v>
      </c>
      <c r="G5" s="33" t="n">
        <v>2</v>
      </c>
      <c r="H5" s="33" t="n">
        <v>2.5</v>
      </c>
      <c r="I5" s="34" t="n">
        <f aca="false">D5*E5</f>
        <v>1020</v>
      </c>
      <c r="J5" s="34" t="n">
        <f aca="false">D5*F5</f>
        <v>1360</v>
      </c>
      <c r="K5" s="34" t="n">
        <f aca="false">D5*G5</f>
        <v>1700</v>
      </c>
      <c r="L5" s="34" t="n">
        <f aca="false">D5*H5</f>
        <v>2125</v>
      </c>
    </row>
    <row r="6" customFormat="false" ht="15" hidden="false" customHeight="true" outlineLevel="0" collapsed="false">
      <c r="A6" s="7" t="s">
        <v>42</v>
      </c>
      <c r="B6" s="8" t="s">
        <v>43</v>
      </c>
      <c r="C6" s="8" t="s">
        <v>209</v>
      </c>
      <c r="D6" s="32" t="n">
        <v>500</v>
      </c>
      <c r="E6" s="33" t="n">
        <v>0.7</v>
      </c>
      <c r="F6" s="33" t="n">
        <v>1.3</v>
      </c>
      <c r="G6" s="33" t="n">
        <v>2.5</v>
      </c>
      <c r="H6" s="33" t="n">
        <v>3.5</v>
      </c>
      <c r="I6" s="34" t="n">
        <f aca="false">D6*E6</f>
        <v>350</v>
      </c>
      <c r="J6" s="34" t="n">
        <f aca="false">D6*F6</f>
        <v>650</v>
      </c>
      <c r="K6" s="34" t="n">
        <f aca="false">D6*G6</f>
        <v>1250</v>
      </c>
      <c r="L6" s="34" t="n">
        <f aca="false">D6*H6</f>
        <v>1750</v>
      </c>
    </row>
    <row r="7" customFormat="false" ht="15" hidden="false" customHeight="true" outlineLevel="0" collapsed="false">
      <c r="A7" s="7" t="s">
        <v>53</v>
      </c>
      <c r="B7" s="8" t="s">
        <v>210</v>
      </c>
      <c r="C7" s="8" t="s">
        <v>55</v>
      </c>
      <c r="D7" s="32" t="n">
        <v>500</v>
      </c>
      <c r="E7" s="33" t="n">
        <v>0.75</v>
      </c>
      <c r="F7" s="33" t="n">
        <v>1.4</v>
      </c>
      <c r="G7" s="33" t="n">
        <v>2</v>
      </c>
      <c r="H7" s="33" t="n">
        <v>2.5</v>
      </c>
      <c r="I7" s="34" t="n">
        <f aca="false">D7*E7</f>
        <v>375</v>
      </c>
      <c r="J7" s="34" t="n">
        <f aca="false">D7*F7</f>
        <v>700</v>
      </c>
      <c r="K7" s="34" t="n">
        <f aca="false">D7*G7</f>
        <v>1000</v>
      </c>
      <c r="L7" s="34" t="n">
        <f aca="false">D7*H7</f>
        <v>1250</v>
      </c>
    </row>
    <row r="8" customFormat="false" ht="21.75" hidden="false" customHeight="true" outlineLevel="0" collapsed="false">
      <c r="A8" s="7" t="s">
        <v>63</v>
      </c>
      <c r="B8" s="8" t="s">
        <v>64</v>
      </c>
      <c r="C8" s="8" t="s">
        <v>65</v>
      </c>
      <c r="D8" s="32" t="n">
        <v>250</v>
      </c>
      <c r="E8" s="33" t="n">
        <v>0.9</v>
      </c>
      <c r="F8" s="33" t="n">
        <v>1.3</v>
      </c>
      <c r="G8" s="33" t="n">
        <v>1.6</v>
      </c>
      <c r="H8" s="33" t="n">
        <v>2</v>
      </c>
      <c r="I8" s="34" t="n">
        <f aca="false">D8*E8</f>
        <v>225</v>
      </c>
      <c r="J8" s="34" t="n">
        <f aca="false">D8*F8</f>
        <v>325</v>
      </c>
      <c r="K8" s="34" t="n">
        <f aca="false">D8*G8</f>
        <v>400</v>
      </c>
      <c r="L8" s="34" t="n">
        <f aca="false">D8*H8</f>
        <v>500</v>
      </c>
    </row>
    <row r="9" customFormat="false" ht="21.75" hidden="false" customHeight="true" outlineLevel="0" collapsed="false">
      <c r="A9" s="7" t="s">
        <v>73</v>
      </c>
      <c r="B9" s="8" t="s">
        <v>74</v>
      </c>
      <c r="C9" s="8" t="s">
        <v>75</v>
      </c>
      <c r="D9" s="32" t="n">
        <v>97</v>
      </c>
      <c r="E9" s="33" t="n">
        <v>0.85</v>
      </c>
      <c r="F9" s="33" t="n">
        <v>1.2</v>
      </c>
      <c r="G9" s="33" t="n">
        <v>1.5</v>
      </c>
      <c r="H9" s="33" t="n">
        <v>1.8</v>
      </c>
      <c r="I9" s="34" t="n">
        <f aca="false">D9*E9</f>
        <v>82.45</v>
      </c>
      <c r="J9" s="34" t="n">
        <f aca="false">D9*F9</f>
        <v>116.4</v>
      </c>
      <c r="K9" s="34" t="n">
        <f aca="false">D9*G9</f>
        <v>145.5</v>
      </c>
      <c r="L9" s="34" t="n">
        <f aca="false">D9*H9</f>
        <v>174.6</v>
      </c>
    </row>
    <row r="10" customFormat="false" ht="21.75" hidden="false" customHeight="true" outlineLevel="0" collapsed="false">
      <c r="A10" s="16" t="s">
        <v>126</v>
      </c>
      <c r="B10" s="17" t="s">
        <v>127</v>
      </c>
      <c r="C10" s="17" t="s">
        <v>128</v>
      </c>
      <c r="D10" s="35" t="n">
        <v>250</v>
      </c>
      <c r="E10" s="36" t="n">
        <v>1.1</v>
      </c>
      <c r="F10" s="36" t="n">
        <v>1.3</v>
      </c>
      <c r="G10" s="36" t="n">
        <v>1.4</v>
      </c>
      <c r="H10" s="36" t="n">
        <v>1.5</v>
      </c>
      <c r="I10" s="37" t="n">
        <f aca="false">D10*E10</f>
        <v>275</v>
      </c>
      <c r="J10" s="37" t="n">
        <f aca="false">D10*F10</f>
        <v>325</v>
      </c>
      <c r="K10" s="37" t="n">
        <f aca="false">D10*G10</f>
        <v>350</v>
      </c>
      <c r="L10" s="37" t="n">
        <f aca="false">D10*H10</f>
        <v>375</v>
      </c>
    </row>
    <row r="11" customFormat="false" ht="15" hidden="false" customHeight="true" outlineLevel="0" collapsed="false">
      <c r="A11" s="16" t="s">
        <v>136</v>
      </c>
      <c r="B11" s="17" t="s">
        <v>137</v>
      </c>
      <c r="C11" s="17" t="s">
        <v>138</v>
      </c>
      <c r="D11" s="35" t="n">
        <v>200</v>
      </c>
      <c r="E11" s="36" t="n">
        <v>1</v>
      </c>
      <c r="F11" s="36" t="n">
        <v>1.2</v>
      </c>
      <c r="G11" s="36" t="n">
        <v>1.3</v>
      </c>
      <c r="H11" s="36" t="n">
        <v>1.4</v>
      </c>
      <c r="I11" s="37" t="n">
        <f aca="false">D11*E11</f>
        <v>200</v>
      </c>
      <c r="J11" s="37" t="n">
        <f aca="false">D11*F11</f>
        <v>240</v>
      </c>
      <c r="K11" s="37" t="n">
        <f aca="false">D11*G11</f>
        <v>260</v>
      </c>
      <c r="L11" s="37" t="n">
        <f aca="false">D11*H11</f>
        <v>280</v>
      </c>
    </row>
    <row r="12" customFormat="false" ht="15" hidden="false" customHeight="true" outlineLevel="0" collapsed="false">
      <c r="A12" s="19" t="s">
        <v>142</v>
      </c>
      <c r="B12" s="20" t="s">
        <v>143</v>
      </c>
      <c r="C12" s="20" t="s">
        <v>144</v>
      </c>
      <c r="D12" s="38" t="n">
        <v>200</v>
      </c>
      <c r="E12" s="39" t="n">
        <v>1.05</v>
      </c>
      <c r="F12" s="39" t="n">
        <v>1.15</v>
      </c>
      <c r="G12" s="39" t="n">
        <v>1.1</v>
      </c>
      <c r="H12" s="39" t="n">
        <v>1.05</v>
      </c>
      <c r="I12" s="40" t="n">
        <f aca="false">D12*E12</f>
        <v>210</v>
      </c>
      <c r="J12" s="40" t="n">
        <f aca="false">D12*F12</f>
        <v>230</v>
      </c>
      <c r="K12" s="40" t="n">
        <f aca="false">D12*G12</f>
        <v>220</v>
      </c>
      <c r="L12" s="40" t="n">
        <f aca="false">D12*H12</f>
        <v>210</v>
      </c>
    </row>
    <row r="13" customFormat="false" ht="15" hidden="false" customHeight="true" outlineLevel="0" collapsed="false">
      <c r="A13" s="19" t="s">
        <v>151</v>
      </c>
      <c r="B13" s="20" t="s">
        <v>152</v>
      </c>
      <c r="C13" s="20" t="s">
        <v>153</v>
      </c>
      <c r="D13" s="38" t="n">
        <v>150</v>
      </c>
      <c r="E13" s="39" t="n">
        <v>1.05</v>
      </c>
      <c r="F13" s="39" t="n">
        <v>1.2</v>
      </c>
      <c r="G13" s="39" t="n">
        <v>1.15</v>
      </c>
      <c r="H13" s="39" t="n">
        <v>1.1</v>
      </c>
      <c r="I13" s="40" t="n">
        <f aca="false">D13*E13</f>
        <v>157.5</v>
      </c>
      <c r="J13" s="40" t="n">
        <f aca="false">D13*F13</f>
        <v>180</v>
      </c>
      <c r="K13" s="40" t="n">
        <f aca="false">D13*G13</f>
        <v>172.5</v>
      </c>
      <c r="L13" s="40" t="n">
        <f aca="false">D13*H13</f>
        <v>165</v>
      </c>
    </row>
    <row r="14" customFormat="false" ht="15" hidden="false" customHeight="true" outlineLevel="0" collapsed="false">
      <c r="A14" s="19" t="s">
        <v>160</v>
      </c>
      <c r="B14" s="20" t="s">
        <v>161</v>
      </c>
      <c r="C14" s="20" t="s">
        <v>162</v>
      </c>
      <c r="D14" s="38" t="n">
        <v>100</v>
      </c>
      <c r="E14" s="39" t="n">
        <v>0.6</v>
      </c>
      <c r="F14" s="39" t="n">
        <v>1</v>
      </c>
      <c r="G14" s="39" t="n">
        <v>1.2</v>
      </c>
      <c r="H14" s="39" t="n">
        <v>1.5</v>
      </c>
      <c r="I14" s="40" t="n">
        <f aca="false">D14*E14</f>
        <v>60</v>
      </c>
      <c r="J14" s="40" t="n">
        <f aca="false">D14*F14</f>
        <v>100</v>
      </c>
      <c r="K14" s="40" t="n">
        <f aca="false">D14*G14</f>
        <v>120</v>
      </c>
      <c r="L14" s="40" t="n">
        <f aca="false">D14*H14</f>
        <v>150</v>
      </c>
    </row>
    <row r="15" customFormat="false" ht="15" hidden="false" customHeight="true" outlineLevel="0" collapsed="false">
      <c r="A15" s="22" t="s">
        <v>170</v>
      </c>
      <c r="B15" s="23" t="s">
        <v>171</v>
      </c>
      <c r="C15" s="23" t="s">
        <v>172</v>
      </c>
      <c r="D15" s="41" t="n">
        <v>450</v>
      </c>
      <c r="E15" s="42" t="n">
        <v>0.95</v>
      </c>
      <c r="F15" s="42" t="n">
        <v>1.15</v>
      </c>
      <c r="G15" s="42" t="n">
        <v>1.25</v>
      </c>
      <c r="H15" s="42" t="n">
        <v>1.4</v>
      </c>
      <c r="I15" s="43" t="n">
        <f aca="false">D15*E15</f>
        <v>427.5</v>
      </c>
      <c r="J15" s="43" t="n">
        <f aca="false">D15*F15</f>
        <v>517.5</v>
      </c>
      <c r="K15" s="43" t="n">
        <f aca="false">D15*G15</f>
        <v>562.5</v>
      </c>
      <c r="L15" s="43" t="n">
        <f aca="false">D15*H15</f>
        <v>630</v>
      </c>
    </row>
    <row r="16" customFormat="false" ht="15" hidden="false" customHeight="true" outlineLevel="0" collapsed="false">
      <c r="A16" s="25" t="s">
        <v>179</v>
      </c>
      <c r="B16" s="26" t="s">
        <v>180</v>
      </c>
      <c r="C16" s="26" t="s">
        <v>181</v>
      </c>
      <c r="D16" s="44" t="n">
        <v>300</v>
      </c>
      <c r="E16" s="45" t="n">
        <v>1.1</v>
      </c>
      <c r="F16" s="45" t="n">
        <v>1.2</v>
      </c>
      <c r="G16" s="45" t="n">
        <v>1.3</v>
      </c>
      <c r="H16" s="45" t="n">
        <v>1.5</v>
      </c>
      <c r="I16" s="46" t="n">
        <f aca="false">D16*E16</f>
        <v>330</v>
      </c>
      <c r="J16" s="46" t="n">
        <f aca="false">D16*F16</f>
        <v>360</v>
      </c>
      <c r="K16" s="46" t="n">
        <f aca="false">D16*G16</f>
        <v>390</v>
      </c>
      <c r="L16" s="46" t="n">
        <f aca="false">D16*H16</f>
        <v>450</v>
      </c>
    </row>
    <row r="17" customFormat="false" ht="15" hidden="false" customHeight="true" outlineLevel="0" collapsed="false">
      <c r="A17" s="28" t="s">
        <v>188</v>
      </c>
      <c r="B17" s="29" t="s">
        <v>190</v>
      </c>
      <c r="C17" s="29" t="s">
        <v>211</v>
      </c>
      <c r="D17" s="47" t="n">
        <v>750</v>
      </c>
      <c r="E17" s="48" t="n">
        <v>1</v>
      </c>
      <c r="F17" s="48" t="n">
        <v>1</v>
      </c>
      <c r="G17" s="48" t="n">
        <v>1</v>
      </c>
      <c r="H17" s="48" t="n">
        <v>1</v>
      </c>
      <c r="I17" s="49" t="n">
        <f aca="false">D17*E17</f>
        <v>750</v>
      </c>
      <c r="J17" s="49" t="n">
        <f aca="false">D17*F17</f>
        <v>750</v>
      </c>
      <c r="K17" s="49" t="n">
        <f aca="false">D17*G17</f>
        <v>750</v>
      </c>
      <c r="L17" s="49" t="n">
        <f aca="false">D17*H17</f>
        <v>750</v>
      </c>
    </row>
    <row r="18" customFormat="false" ht="26.25" hidden="false" customHeight="true" outlineLevel="0" collapsed="false">
      <c r="A18" s="30"/>
      <c r="B18" s="30" t="s">
        <v>212</v>
      </c>
      <c r="D18" s="31" t="n">
        <f aca="false">SUM(D4:D17)</f>
        <v>5997</v>
      </c>
      <c r="I18" s="50" t="n">
        <f aca="false">SUM(I4:I17)</f>
        <v>5582.45</v>
      </c>
      <c r="J18" s="50" t="n">
        <f aca="false">SUM(J4:J17)</f>
        <v>7813.9</v>
      </c>
      <c r="K18" s="50" t="n">
        <f aca="false">SUM(K4:K17)</f>
        <v>10120.5</v>
      </c>
      <c r="L18" s="50" t="n">
        <f aca="false">SUM(L4:L17)</f>
        <v>12309.6</v>
      </c>
    </row>
    <row r="19" customFormat="false" ht="26.25" hidden="false" customHeight="true" outlineLevel="0" collapsed="false">
      <c r="B19" s="30" t="s">
        <v>213</v>
      </c>
      <c r="I19" s="51" t="n">
        <f aca="false">I18-D18</f>
        <v>-414.55</v>
      </c>
      <c r="J19" s="51" t="n">
        <f aca="false">J18-D18</f>
        <v>1816.9</v>
      </c>
      <c r="K19" s="51" t="n">
        <f aca="false">K18-D18</f>
        <v>4123.5</v>
      </c>
      <c r="L19" s="51" t="n">
        <f aca="false">L18-D18</f>
        <v>6312.6</v>
      </c>
    </row>
    <row r="20" customFormat="false" ht="15" hidden="false" customHeight="true" outlineLevel="0" collapsed="false">
      <c r="B20" s="30" t="s">
        <v>214</v>
      </c>
      <c r="I20" s="52" t="n">
        <f aca="false">I19/D18</f>
        <v>-0.0691262297815575</v>
      </c>
      <c r="J20" s="52" t="n">
        <f aca="false">J19/D18</f>
        <v>0.302968150742038</v>
      </c>
      <c r="K20" s="52" t="n">
        <f aca="false">K19/D18</f>
        <v>0.687593796898449</v>
      </c>
      <c r="L20" s="52" t="n">
        <f aca="false">L19/D18</f>
        <v>1.05262631315658</v>
      </c>
    </row>
    <row r="22" customFormat="false" ht="15" hidden="false" customHeight="true" outlineLevel="0" collapsed="false">
      <c r="A22" s="53" t="s">
        <v>215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</row>
    <row r="23" customFormat="false" ht="15" hidden="false" customHeight="true" outlineLevel="0" collapsed="false">
      <c r="A23" s="53" t="s">
        <v>216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</row>
    <row r="24" customFormat="false" ht="15" hidden="false" customHeight="true" outlineLevel="0" collapsed="false">
      <c r="A24" s="53" t="s">
        <v>217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</row>
    <row r="25" customFormat="false" ht="15" hidden="false" customHeight="true" outlineLevel="0" collapsed="false">
      <c r="A25" s="53" t="s">
        <v>218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</row>
  </sheetData>
  <mergeCells count="6">
    <mergeCell ref="A1:N1"/>
    <mergeCell ref="A2:N2"/>
    <mergeCell ref="A22:N22"/>
    <mergeCell ref="A23:N23"/>
    <mergeCell ref="A24:N24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7"/>
    <col collapsed="false" customWidth="true" hidden="false" outlineLevel="0" max="4" min="4" style="1" width="32"/>
    <col collapsed="false" customWidth="true" hidden="false" outlineLevel="0" max="6" min="5" style="1" width="22"/>
    <col collapsed="false" customWidth="true" hidden="false" outlineLevel="0" max="7" min="7" style="1" width="5"/>
    <col collapsed="false" customWidth="true" hidden="false" outlineLevel="0" max="8" min="8" style="1" width="16"/>
    <col collapsed="false" customWidth="true" hidden="false" outlineLevel="0" max="9" min="9" style="1" width="22"/>
  </cols>
  <sheetData>
    <row r="1" customFormat="false" ht="15.75" hidden="false" customHeight="true" outlineLevel="0" collapsed="false">
      <c r="A1" s="2" t="s">
        <v>219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6" t="s">
        <v>220</v>
      </c>
      <c r="B3" s="6" t="s">
        <v>7</v>
      </c>
      <c r="C3" s="6" t="s">
        <v>5</v>
      </c>
      <c r="D3" s="6" t="s">
        <v>221</v>
      </c>
      <c r="E3" s="6" t="s">
        <v>222</v>
      </c>
      <c r="F3" s="6" t="s">
        <v>223</v>
      </c>
      <c r="G3" s="6" t="s">
        <v>15</v>
      </c>
      <c r="H3" s="6" t="s">
        <v>18</v>
      </c>
      <c r="I3" s="6" t="s">
        <v>224</v>
      </c>
    </row>
    <row r="4" customFormat="false" ht="21.75" hidden="false" customHeight="true" outlineLevel="0" collapsed="false">
      <c r="A4" s="7" t="s">
        <v>225</v>
      </c>
      <c r="B4" s="7" t="s">
        <v>226</v>
      </c>
      <c r="C4" s="7" t="s">
        <v>227</v>
      </c>
      <c r="D4" s="8" t="s">
        <v>228</v>
      </c>
      <c r="E4" s="8" t="s">
        <v>229</v>
      </c>
      <c r="F4" s="8" t="s">
        <v>230</v>
      </c>
      <c r="G4" s="8" t="s">
        <v>231</v>
      </c>
      <c r="H4" s="8" t="s">
        <v>232</v>
      </c>
      <c r="I4" s="8" t="s">
        <v>233</v>
      </c>
    </row>
    <row r="5" customFormat="false" ht="21.75" hidden="false" customHeight="true" outlineLevel="0" collapsed="false">
      <c r="A5" s="7" t="s">
        <v>234</v>
      </c>
      <c r="B5" s="7" t="s">
        <v>226</v>
      </c>
      <c r="C5" s="7" t="s">
        <v>20</v>
      </c>
      <c r="D5" s="8" t="s">
        <v>235</v>
      </c>
      <c r="E5" s="8" t="s">
        <v>236</v>
      </c>
      <c r="F5" s="8" t="s">
        <v>237</v>
      </c>
      <c r="G5" s="8" t="s">
        <v>238</v>
      </c>
      <c r="H5" s="8" t="s">
        <v>239</v>
      </c>
      <c r="I5" s="8" t="s">
        <v>240</v>
      </c>
    </row>
    <row r="6" customFormat="false" ht="21.75" hidden="false" customHeight="true" outlineLevel="0" collapsed="false">
      <c r="A6" s="12" t="s">
        <v>241</v>
      </c>
      <c r="B6" s="12" t="s">
        <v>242</v>
      </c>
      <c r="C6" s="12" t="s">
        <v>227</v>
      </c>
      <c r="D6" s="13" t="s">
        <v>243</v>
      </c>
      <c r="E6" s="13" t="s">
        <v>244</v>
      </c>
      <c r="F6" s="13" t="s">
        <v>245</v>
      </c>
      <c r="G6" s="13" t="s">
        <v>246</v>
      </c>
      <c r="H6" s="13" t="s">
        <v>247</v>
      </c>
      <c r="I6" s="13" t="s">
        <v>248</v>
      </c>
    </row>
    <row r="7" customFormat="false" ht="21.75" hidden="false" customHeight="true" outlineLevel="0" collapsed="false">
      <c r="A7" s="7" t="s">
        <v>249</v>
      </c>
      <c r="B7" s="7" t="s">
        <v>226</v>
      </c>
      <c r="C7" s="7" t="s">
        <v>31</v>
      </c>
      <c r="D7" s="8" t="s">
        <v>250</v>
      </c>
      <c r="E7" s="8" t="s">
        <v>251</v>
      </c>
      <c r="F7" s="8" t="s">
        <v>87</v>
      </c>
      <c r="G7" s="8" t="s">
        <v>252</v>
      </c>
      <c r="H7" s="8" t="s">
        <v>253</v>
      </c>
      <c r="I7" s="8" t="s">
        <v>254</v>
      </c>
    </row>
    <row r="8" customFormat="false" ht="21.75" hidden="false" customHeight="true" outlineLevel="0" collapsed="false">
      <c r="A8" s="7" t="s">
        <v>255</v>
      </c>
      <c r="B8" s="7" t="s">
        <v>226</v>
      </c>
      <c r="C8" s="7" t="s">
        <v>42</v>
      </c>
      <c r="D8" s="8" t="s">
        <v>256</v>
      </c>
      <c r="E8" s="8" t="s">
        <v>257</v>
      </c>
      <c r="F8" s="8" t="s">
        <v>258</v>
      </c>
      <c r="G8" s="8" t="s">
        <v>259</v>
      </c>
      <c r="H8" s="8" t="s">
        <v>260</v>
      </c>
      <c r="I8" s="8" t="s">
        <v>261</v>
      </c>
    </row>
    <row r="9" customFormat="false" ht="21.75" hidden="false" customHeight="true" outlineLevel="0" collapsed="false">
      <c r="A9" s="12" t="s">
        <v>262</v>
      </c>
      <c r="B9" s="12" t="s">
        <v>83</v>
      </c>
      <c r="C9" s="12" t="s">
        <v>84</v>
      </c>
      <c r="D9" s="13" t="s">
        <v>263</v>
      </c>
      <c r="E9" s="13" t="s">
        <v>264</v>
      </c>
      <c r="F9" s="13" t="s">
        <v>265</v>
      </c>
      <c r="G9" s="13" t="s">
        <v>266</v>
      </c>
      <c r="H9" s="13" t="s">
        <v>267</v>
      </c>
      <c r="I9" s="13" t="s">
        <v>268</v>
      </c>
    </row>
    <row r="10" customFormat="false" ht="21.75" hidden="false" customHeight="true" outlineLevel="0" collapsed="false">
      <c r="A10" s="7" t="s">
        <v>269</v>
      </c>
      <c r="B10" s="7" t="s">
        <v>226</v>
      </c>
      <c r="C10" s="7" t="s">
        <v>53</v>
      </c>
      <c r="D10" s="8" t="s">
        <v>270</v>
      </c>
      <c r="E10" s="8" t="s">
        <v>271</v>
      </c>
      <c r="F10" s="8" t="s">
        <v>272</v>
      </c>
      <c r="G10" s="8" t="s">
        <v>238</v>
      </c>
      <c r="H10" s="8" t="s">
        <v>273</v>
      </c>
      <c r="I10" s="8" t="s">
        <v>274</v>
      </c>
    </row>
    <row r="11" customFormat="false" ht="21.75" hidden="false" customHeight="true" outlineLevel="0" collapsed="false">
      <c r="A11" s="7" t="s">
        <v>269</v>
      </c>
      <c r="B11" s="7" t="s">
        <v>226</v>
      </c>
      <c r="C11" s="7" t="s">
        <v>20</v>
      </c>
      <c r="D11" s="8" t="s">
        <v>275</v>
      </c>
      <c r="E11" s="8" t="s">
        <v>276</v>
      </c>
      <c r="F11" s="8" t="s">
        <v>277</v>
      </c>
      <c r="G11" s="8" t="s">
        <v>278</v>
      </c>
      <c r="H11" s="8" t="s">
        <v>279</v>
      </c>
      <c r="I11" s="8" t="s">
        <v>280</v>
      </c>
    </row>
    <row r="12" customFormat="false" ht="21.75" hidden="false" customHeight="true" outlineLevel="0" collapsed="false">
      <c r="A12" s="7" t="s">
        <v>269</v>
      </c>
      <c r="B12" s="7" t="s">
        <v>226</v>
      </c>
      <c r="C12" s="7" t="s">
        <v>63</v>
      </c>
      <c r="D12" s="8" t="s">
        <v>281</v>
      </c>
      <c r="E12" s="8" t="s">
        <v>282</v>
      </c>
      <c r="F12" s="8" t="s">
        <v>283</v>
      </c>
      <c r="G12" s="8" t="s">
        <v>284</v>
      </c>
      <c r="H12" s="8" t="s">
        <v>285</v>
      </c>
      <c r="I12" s="8" t="s">
        <v>286</v>
      </c>
    </row>
    <row r="13" customFormat="false" ht="21.75" hidden="false" customHeight="true" outlineLevel="0" collapsed="false">
      <c r="A13" s="16" t="s">
        <v>269</v>
      </c>
      <c r="B13" s="16" t="s">
        <v>287</v>
      </c>
      <c r="C13" s="16" t="s">
        <v>126</v>
      </c>
      <c r="D13" s="17" t="s">
        <v>288</v>
      </c>
      <c r="E13" s="17" t="s">
        <v>289</v>
      </c>
      <c r="F13" s="17" t="s">
        <v>290</v>
      </c>
      <c r="G13" s="17" t="s">
        <v>291</v>
      </c>
      <c r="H13" s="17" t="s">
        <v>273</v>
      </c>
      <c r="I13" s="17" t="s">
        <v>292</v>
      </c>
    </row>
    <row r="14" customFormat="false" ht="21.75" hidden="false" customHeight="true" outlineLevel="0" collapsed="false">
      <c r="A14" s="12" t="s">
        <v>269</v>
      </c>
      <c r="B14" s="12" t="s">
        <v>83</v>
      </c>
      <c r="C14" s="12" t="s">
        <v>103</v>
      </c>
      <c r="D14" s="13" t="s">
        <v>293</v>
      </c>
      <c r="E14" s="13" t="s">
        <v>294</v>
      </c>
      <c r="F14" s="13" t="s">
        <v>295</v>
      </c>
      <c r="G14" s="13" t="s">
        <v>246</v>
      </c>
      <c r="H14" s="13" t="s">
        <v>296</v>
      </c>
      <c r="I14" s="13" t="s">
        <v>297</v>
      </c>
    </row>
    <row r="15" customFormat="false" ht="21.75" hidden="false" customHeight="true" outlineLevel="0" collapsed="false">
      <c r="A15" s="54" t="s">
        <v>298</v>
      </c>
      <c r="B15" s="54" t="s">
        <v>227</v>
      </c>
      <c r="C15" s="54" t="s">
        <v>227</v>
      </c>
      <c r="D15" s="55" t="s">
        <v>299</v>
      </c>
      <c r="E15" s="55" t="s">
        <v>300</v>
      </c>
      <c r="F15" s="55" t="s">
        <v>301</v>
      </c>
      <c r="G15" s="55" t="s">
        <v>87</v>
      </c>
      <c r="H15" s="55" t="s">
        <v>302</v>
      </c>
      <c r="I15" s="55" t="s">
        <v>303</v>
      </c>
    </row>
    <row r="16" customFormat="false" ht="21.75" hidden="false" customHeight="true" outlineLevel="0" collapsed="false">
      <c r="A16" s="54" t="s">
        <v>304</v>
      </c>
      <c r="B16" s="54" t="s">
        <v>226</v>
      </c>
      <c r="C16" s="54" t="s">
        <v>227</v>
      </c>
      <c r="D16" s="55" t="s">
        <v>305</v>
      </c>
      <c r="E16" s="55" t="s">
        <v>306</v>
      </c>
      <c r="F16" s="55" t="s">
        <v>307</v>
      </c>
      <c r="G16" s="55" t="s">
        <v>87</v>
      </c>
      <c r="H16" s="55" t="s">
        <v>308</v>
      </c>
      <c r="I16" s="55" t="s">
        <v>309</v>
      </c>
    </row>
    <row r="17" customFormat="false" ht="21.75" hidden="false" customHeight="true" outlineLevel="0" collapsed="false">
      <c r="A17" s="7" t="s">
        <v>310</v>
      </c>
      <c r="B17" s="7" t="s">
        <v>226</v>
      </c>
      <c r="C17" s="7" t="s">
        <v>311</v>
      </c>
      <c r="D17" s="8" t="s">
        <v>312</v>
      </c>
      <c r="E17" s="8" t="s">
        <v>313</v>
      </c>
      <c r="F17" s="8" t="s">
        <v>314</v>
      </c>
      <c r="G17" s="8" t="s">
        <v>246</v>
      </c>
      <c r="H17" s="8" t="s">
        <v>315</v>
      </c>
      <c r="I17" s="8" t="s">
        <v>316</v>
      </c>
    </row>
    <row r="18" customFormat="false" ht="21.75" hidden="false" customHeight="true" outlineLevel="0" collapsed="false">
      <c r="A18" s="7" t="s">
        <v>317</v>
      </c>
      <c r="B18" s="7" t="s">
        <v>226</v>
      </c>
      <c r="C18" s="7" t="s">
        <v>63</v>
      </c>
      <c r="D18" s="8" t="s">
        <v>318</v>
      </c>
      <c r="E18" s="8" t="s">
        <v>319</v>
      </c>
      <c r="F18" s="8" t="s">
        <v>295</v>
      </c>
      <c r="G18" s="8" t="s">
        <v>291</v>
      </c>
      <c r="H18" s="8" t="s">
        <v>273</v>
      </c>
      <c r="I18" s="8" t="s">
        <v>320</v>
      </c>
    </row>
    <row r="19" customFormat="false" ht="21.75" hidden="false" customHeight="true" outlineLevel="0" collapsed="false">
      <c r="A19" s="16" t="s">
        <v>317</v>
      </c>
      <c r="B19" s="16" t="s">
        <v>287</v>
      </c>
      <c r="C19" s="16" t="s">
        <v>126</v>
      </c>
      <c r="D19" s="17" t="s">
        <v>321</v>
      </c>
      <c r="E19" s="17" t="s">
        <v>322</v>
      </c>
      <c r="F19" s="17" t="s">
        <v>323</v>
      </c>
      <c r="G19" s="17" t="s">
        <v>238</v>
      </c>
      <c r="H19" s="17" t="s">
        <v>273</v>
      </c>
      <c r="I19" s="17" t="s">
        <v>324</v>
      </c>
    </row>
    <row r="20" customFormat="false" ht="21.75" hidden="false" customHeight="true" outlineLevel="0" collapsed="false">
      <c r="A20" s="19" t="s">
        <v>317</v>
      </c>
      <c r="B20" s="19" t="s">
        <v>287</v>
      </c>
      <c r="C20" s="19" t="s">
        <v>142</v>
      </c>
      <c r="D20" s="20" t="s">
        <v>325</v>
      </c>
      <c r="E20" s="20" t="s">
        <v>326</v>
      </c>
      <c r="F20" s="20" t="s">
        <v>327</v>
      </c>
      <c r="G20" s="20" t="s">
        <v>259</v>
      </c>
      <c r="H20" s="20" t="s">
        <v>273</v>
      </c>
      <c r="I20" s="20" t="s">
        <v>328</v>
      </c>
    </row>
    <row r="21" customFormat="false" ht="21.75" hidden="false" customHeight="true" outlineLevel="0" collapsed="false">
      <c r="A21" s="19" t="s">
        <v>317</v>
      </c>
      <c r="B21" s="19" t="s">
        <v>287</v>
      </c>
      <c r="C21" s="19" t="s">
        <v>151</v>
      </c>
      <c r="D21" s="20" t="s">
        <v>329</v>
      </c>
      <c r="E21" s="20" t="s">
        <v>330</v>
      </c>
      <c r="F21" s="20" t="s">
        <v>331</v>
      </c>
      <c r="G21" s="20" t="s">
        <v>291</v>
      </c>
      <c r="H21" s="20" t="s">
        <v>273</v>
      </c>
      <c r="I21" s="20" t="s">
        <v>332</v>
      </c>
    </row>
    <row r="22" customFormat="false" ht="21.75" hidden="false" customHeight="true" outlineLevel="0" collapsed="false">
      <c r="A22" s="12" t="s">
        <v>333</v>
      </c>
      <c r="B22" s="12" t="s">
        <v>83</v>
      </c>
      <c r="C22" s="12" t="s">
        <v>110</v>
      </c>
      <c r="D22" s="13" t="s">
        <v>334</v>
      </c>
      <c r="E22" s="13" t="s">
        <v>335</v>
      </c>
      <c r="F22" s="13" t="s">
        <v>336</v>
      </c>
      <c r="G22" s="13" t="s">
        <v>337</v>
      </c>
      <c r="H22" s="13" t="s">
        <v>338</v>
      </c>
      <c r="I22" s="13" t="s">
        <v>339</v>
      </c>
    </row>
    <row r="23" customFormat="false" ht="21.75" hidden="false" customHeight="true" outlineLevel="0" collapsed="false">
      <c r="A23" s="19" t="s">
        <v>333</v>
      </c>
      <c r="B23" s="19" t="s">
        <v>287</v>
      </c>
      <c r="C23" s="19" t="s">
        <v>160</v>
      </c>
      <c r="D23" s="20" t="s">
        <v>340</v>
      </c>
      <c r="E23" s="20" t="s">
        <v>341</v>
      </c>
      <c r="F23" s="20" t="s">
        <v>342</v>
      </c>
      <c r="G23" s="20" t="s">
        <v>343</v>
      </c>
      <c r="H23" s="20" t="s">
        <v>344</v>
      </c>
      <c r="I23" s="20" t="s">
        <v>345</v>
      </c>
    </row>
    <row r="24" customFormat="false" ht="21.75" hidden="false" customHeight="true" outlineLevel="0" collapsed="false">
      <c r="A24" s="25" t="s">
        <v>333</v>
      </c>
      <c r="B24" s="25" t="s">
        <v>346</v>
      </c>
      <c r="C24" s="25" t="s">
        <v>179</v>
      </c>
      <c r="D24" s="26" t="s">
        <v>347</v>
      </c>
      <c r="E24" s="26" t="s">
        <v>348</v>
      </c>
      <c r="F24" s="26" t="s">
        <v>349</v>
      </c>
      <c r="G24" s="26" t="s">
        <v>278</v>
      </c>
      <c r="H24" s="26" t="s">
        <v>273</v>
      </c>
      <c r="I24" s="26" t="s">
        <v>350</v>
      </c>
    </row>
    <row r="25" customFormat="false" ht="21.75" hidden="false" customHeight="true" outlineLevel="0" collapsed="false">
      <c r="A25" s="28" t="s">
        <v>351</v>
      </c>
      <c r="B25" s="28" t="s">
        <v>227</v>
      </c>
      <c r="C25" s="28" t="s">
        <v>227</v>
      </c>
      <c r="D25" s="29" t="s">
        <v>352</v>
      </c>
      <c r="E25" s="29" t="s">
        <v>353</v>
      </c>
      <c r="F25" s="29" t="s">
        <v>354</v>
      </c>
      <c r="G25" s="29" t="s">
        <v>87</v>
      </c>
      <c r="H25" s="29" t="s">
        <v>355</v>
      </c>
      <c r="I25" s="29" t="s">
        <v>356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3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25"/>
    <col collapsed="false" customWidth="true" hidden="false" outlineLevel="0" max="5" min="5" style="1" width="10"/>
    <col collapsed="false" customWidth="true" hidden="false" outlineLevel="0" max="6" min="6" style="1" width="30"/>
  </cols>
  <sheetData>
    <row r="1" customFormat="false" ht="15.75" hidden="false" customHeight="true" outlineLevel="0" collapsed="false">
      <c r="A1" s="2" t="s">
        <v>357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358</v>
      </c>
      <c r="B3" s="5"/>
      <c r="C3" s="5"/>
      <c r="D3" s="5"/>
      <c r="E3" s="5"/>
      <c r="F3" s="5"/>
    </row>
    <row r="5" customFormat="false" ht="32.25" hidden="false" customHeight="true" outlineLevel="0" collapsed="false">
      <c r="A5" s="6" t="s">
        <v>359</v>
      </c>
      <c r="B5" s="6" t="s">
        <v>360</v>
      </c>
      <c r="C5" s="6" t="s">
        <v>361</v>
      </c>
      <c r="D5" s="6" t="s">
        <v>362</v>
      </c>
      <c r="E5" s="6" t="s">
        <v>363</v>
      </c>
      <c r="F5" s="6" t="s">
        <v>364</v>
      </c>
    </row>
    <row r="6" customFormat="false" ht="21.75" hidden="false" customHeight="true" outlineLevel="0" collapsed="false">
      <c r="A6" s="12" t="s">
        <v>84</v>
      </c>
      <c r="B6" s="13" t="s">
        <v>365</v>
      </c>
      <c r="C6" s="13" t="s">
        <v>366</v>
      </c>
      <c r="D6" s="13" t="s">
        <v>367</v>
      </c>
      <c r="E6" s="13" t="s">
        <v>368</v>
      </c>
      <c r="F6" s="13" t="s">
        <v>369</v>
      </c>
    </row>
    <row r="7" customFormat="false" ht="21.75" hidden="false" customHeight="true" outlineLevel="0" collapsed="false">
      <c r="A7" s="12" t="s">
        <v>94</v>
      </c>
      <c r="B7" s="13" t="s">
        <v>370</v>
      </c>
      <c r="C7" s="13" t="s">
        <v>371</v>
      </c>
      <c r="D7" s="13" t="s">
        <v>372</v>
      </c>
      <c r="E7" s="13" t="s">
        <v>373</v>
      </c>
      <c r="F7" s="13" t="s">
        <v>374</v>
      </c>
    </row>
    <row r="8" customFormat="false" ht="21.75" hidden="false" customHeight="true" outlineLevel="0" collapsed="false">
      <c r="A8" s="12" t="s">
        <v>103</v>
      </c>
      <c r="B8" s="13" t="s">
        <v>375</v>
      </c>
      <c r="C8" s="13" t="s">
        <v>376</v>
      </c>
      <c r="D8" s="13" t="s">
        <v>377</v>
      </c>
      <c r="E8" s="13" t="s">
        <v>378</v>
      </c>
      <c r="F8" s="13" t="s">
        <v>379</v>
      </c>
    </row>
    <row r="9" customFormat="false" ht="21.75" hidden="false" customHeight="true" outlineLevel="0" collapsed="false">
      <c r="A9" s="12" t="s">
        <v>110</v>
      </c>
      <c r="B9" s="13" t="s">
        <v>375</v>
      </c>
      <c r="C9" s="13" t="s">
        <v>380</v>
      </c>
      <c r="D9" s="13" t="s">
        <v>381</v>
      </c>
      <c r="E9" s="13" t="s">
        <v>378</v>
      </c>
      <c r="F9" s="13" t="s">
        <v>382</v>
      </c>
    </row>
    <row r="11" customFormat="false" ht="15" hidden="false" customHeight="true" outlineLevel="0" collapsed="false">
      <c r="A11" s="5" t="s">
        <v>383</v>
      </c>
      <c r="B11" s="5"/>
      <c r="C11" s="5"/>
      <c r="D11" s="5"/>
      <c r="E11" s="5"/>
      <c r="F11" s="5"/>
    </row>
    <row r="13" customFormat="false" ht="21.75" hidden="false" customHeight="true" outlineLevel="0" collapsed="false">
      <c r="A13" s="6" t="s">
        <v>384</v>
      </c>
      <c r="B13" s="6" t="s">
        <v>360</v>
      </c>
      <c r="C13" s="6" t="s">
        <v>385</v>
      </c>
      <c r="D13" s="6" t="s">
        <v>386</v>
      </c>
      <c r="E13" s="6" t="s">
        <v>387</v>
      </c>
      <c r="F13" s="6" t="s">
        <v>364</v>
      </c>
    </row>
    <row r="14" customFormat="false" ht="21.75" hidden="false" customHeight="true" outlineLevel="0" collapsed="false">
      <c r="A14" s="19" t="s">
        <v>126</v>
      </c>
      <c r="B14" s="20" t="s">
        <v>370</v>
      </c>
      <c r="C14" s="20" t="s">
        <v>365</v>
      </c>
      <c r="D14" s="20" t="s">
        <v>388</v>
      </c>
      <c r="E14" s="20" t="s">
        <v>389</v>
      </c>
      <c r="F14" s="20" t="s">
        <v>390</v>
      </c>
    </row>
    <row r="15" customFormat="false" ht="21.75" hidden="false" customHeight="true" outlineLevel="0" collapsed="false">
      <c r="A15" s="19" t="s">
        <v>63</v>
      </c>
      <c r="B15" s="20" t="s">
        <v>370</v>
      </c>
      <c r="C15" s="20" t="s">
        <v>365</v>
      </c>
      <c r="D15" s="20" t="s">
        <v>388</v>
      </c>
      <c r="E15" s="20" t="s">
        <v>391</v>
      </c>
      <c r="F15" s="20" t="s">
        <v>392</v>
      </c>
    </row>
    <row r="16" customFormat="false" ht="21.75" hidden="false" customHeight="true" outlineLevel="0" collapsed="false">
      <c r="A16" s="19" t="s">
        <v>151</v>
      </c>
      <c r="B16" s="20" t="s">
        <v>375</v>
      </c>
      <c r="C16" s="20" t="s">
        <v>375</v>
      </c>
      <c r="D16" s="20" t="s">
        <v>393</v>
      </c>
      <c r="E16" s="20" t="s">
        <v>394</v>
      </c>
      <c r="F16" s="20" t="s">
        <v>395</v>
      </c>
    </row>
    <row r="17" customFormat="false" ht="21.75" hidden="false" customHeight="true" outlineLevel="0" collapsed="false">
      <c r="A17" s="19" t="s">
        <v>142</v>
      </c>
      <c r="B17" s="20" t="s">
        <v>370</v>
      </c>
      <c r="C17" s="20" t="s">
        <v>370</v>
      </c>
      <c r="D17" s="20" t="s">
        <v>396</v>
      </c>
      <c r="E17" s="20" t="s">
        <v>144</v>
      </c>
      <c r="F17" s="20" t="s">
        <v>397</v>
      </c>
    </row>
    <row r="20" customFormat="false" ht="15" hidden="false" customHeight="true" outlineLevel="0" collapsed="false">
      <c r="A20" s="5" t="s">
        <v>398</v>
      </c>
      <c r="B20" s="5"/>
      <c r="C20" s="5"/>
      <c r="D20" s="5"/>
      <c r="E20" s="5"/>
      <c r="F20" s="5"/>
    </row>
    <row r="22" customFormat="false" ht="21.75" hidden="false" customHeight="true" outlineLevel="0" collapsed="false">
      <c r="A22" s="6" t="s">
        <v>399</v>
      </c>
      <c r="B22" s="6" t="s">
        <v>400</v>
      </c>
      <c r="C22" s="6" t="s">
        <v>401</v>
      </c>
      <c r="D22" s="6" t="s">
        <v>402</v>
      </c>
    </row>
    <row r="23" customFormat="false" ht="21.75" hidden="false" customHeight="true" outlineLevel="0" collapsed="false">
      <c r="A23" s="56" t="s">
        <v>403</v>
      </c>
      <c r="B23" s="57" t="s">
        <v>404</v>
      </c>
      <c r="C23" s="58" t="s">
        <v>405</v>
      </c>
      <c r="D23" s="59" t="s">
        <v>406</v>
      </c>
    </row>
    <row r="24" customFormat="false" ht="21.75" hidden="false" customHeight="true" outlineLevel="0" collapsed="false">
      <c r="A24" s="56" t="s">
        <v>407</v>
      </c>
      <c r="B24" s="57" t="s">
        <v>408</v>
      </c>
      <c r="C24" s="58" t="s">
        <v>409</v>
      </c>
      <c r="D24" s="59" t="s">
        <v>410</v>
      </c>
    </row>
    <row r="25" customFormat="false" ht="21.75" hidden="false" customHeight="true" outlineLevel="0" collapsed="false">
      <c r="A25" s="56" t="s">
        <v>411</v>
      </c>
      <c r="B25" s="57" t="s">
        <v>412</v>
      </c>
      <c r="C25" s="58" t="s">
        <v>413</v>
      </c>
      <c r="D25" s="59" t="s">
        <v>414</v>
      </c>
    </row>
    <row r="26" customFormat="false" ht="21.75" hidden="false" customHeight="true" outlineLevel="0" collapsed="false">
      <c r="A26" s="56" t="s">
        <v>415</v>
      </c>
      <c r="B26" s="57" t="s">
        <v>416</v>
      </c>
      <c r="C26" s="58" t="s">
        <v>417</v>
      </c>
      <c r="D26" s="59" t="s">
        <v>418</v>
      </c>
    </row>
    <row r="27" customFormat="false" ht="21.75" hidden="false" customHeight="true" outlineLevel="0" collapsed="false">
      <c r="A27" s="56" t="s">
        <v>419</v>
      </c>
      <c r="B27" s="57" t="s">
        <v>420</v>
      </c>
      <c r="C27" s="58" t="s">
        <v>421</v>
      </c>
      <c r="D27" s="59" t="s">
        <v>422</v>
      </c>
    </row>
    <row r="28" customFormat="false" ht="21.75" hidden="false" customHeight="true" outlineLevel="0" collapsed="false">
      <c r="A28" s="56" t="s">
        <v>423</v>
      </c>
      <c r="B28" s="57" t="s">
        <v>424</v>
      </c>
      <c r="C28" s="58" t="s">
        <v>425</v>
      </c>
      <c r="D28" s="59" t="s">
        <v>426</v>
      </c>
    </row>
    <row r="31" customFormat="false" ht="15" hidden="false" customHeight="true" outlineLevel="0" collapsed="false">
      <c r="A31" s="60" t="s">
        <v>427</v>
      </c>
      <c r="B31" s="60"/>
      <c r="C31" s="60"/>
      <c r="D31" s="60"/>
      <c r="E31" s="60"/>
      <c r="F31" s="60"/>
    </row>
    <row r="32" customFormat="false" ht="15" hidden="false" customHeight="true" outlineLevel="0" collapsed="false">
      <c r="A32" s="61" t="s">
        <v>428</v>
      </c>
      <c r="B32" s="61"/>
      <c r="C32" s="61"/>
      <c r="D32" s="61"/>
      <c r="E32" s="61"/>
      <c r="F32" s="61"/>
    </row>
  </sheetData>
  <mergeCells count="6">
    <mergeCell ref="A1:F1"/>
    <mergeCell ref="A3:F3"/>
    <mergeCell ref="A11:F11"/>
    <mergeCell ref="A20:F2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5"/>
  </cols>
  <sheetData>
    <row r="1" customFormat="false" ht="16.15" hidden="false" customHeight="false" outlineLevel="0" collapsed="false">
      <c r="A1" s="62" t="s">
        <v>429</v>
      </c>
      <c r="B1" s="62"/>
      <c r="C1" s="62"/>
      <c r="D1" s="62"/>
      <c r="E1" s="62"/>
      <c r="F1" s="62"/>
      <c r="G1" s="62"/>
      <c r="H1" s="62"/>
      <c r="I1" s="62"/>
      <c r="J1" s="62"/>
    </row>
    <row r="2" customFormat="false" ht="15" hidden="false" customHeight="false" outlineLevel="0" collapsed="false">
      <c r="A2" s="63" t="s">
        <v>430</v>
      </c>
      <c r="B2" s="63"/>
      <c r="C2" s="63"/>
      <c r="D2" s="63"/>
      <c r="E2" s="63"/>
      <c r="F2" s="63"/>
      <c r="G2" s="63"/>
      <c r="H2" s="63"/>
      <c r="I2" s="63"/>
      <c r="J2" s="63"/>
    </row>
    <row r="4" customFormat="false" ht="15" hidden="false" customHeight="false" outlineLevel="0" collapsed="false">
      <c r="A4" s="64" t="s">
        <v>431</v>
      </c>
      <c r="B4" s="64"/>
      <c r="C4" s="64"/>
      <c r="D4" s="64"/>
      <c r="E4" s="64"/>
      <c r="F4" s="64"/>
      <c r="G4" s="64"/>
      <c r="H4" s="64"/>
      <c r="I4" s="64"/>
      <c r="J4" s="64"/>
    </row>
    <row r="6" customFormat="false" ht="15" hidden="false" customHeight="false" outlineLevel="0" collapsed="false">
      <c r="A6" s="6" t="s">
        <v>399</v>
      </c>
      <c r="B6" s="6" t="s">
        <v>18</v>
      </c>
      <c r="C6" s="6" t="s">
        <v>5</v>
      </c>
      <c r="D6" s="6" t="s">
        <v>6</v>
      </c>
      <c r="E6" s="6" t="s">
        <v>432</v>
      </c>
      <c r="F6" s="6" t="s">
        <v>433</v>
      </c>
      <c r="G6" s="6" t="s">
        <v>434</v>
      </c>
      <c r="H6" s="6" t="s">
        <v>435</v>
      </c>
    </row>
    <row r="7" customFormat="false" ht="43.25" hidden="false" customHeight="false" outlineLevel="0" collapsed="false">
      <c r="A7" s="12" t="s">
        <v>403</v>
      </c>
      <c r="B7" s="12" t="s">
        <v>436</v>
      </c>
      <c r="C7" s="12" t="s">
        <v>437</v>
      </c>
      <c r="D7" s="13" t="s">
        <v>438</v>
      </c>
      <c r="E7" s="13" t="s">
        <v>439</v>
      </c>
      <c r="F7" s="65" t="s">
        <v>440</v>
      </c>
      <c r="G7" s="13" t="s">
        <v>441</v>
      </c>
      <c r="H7" s="13" t="s">
        <v>442</v>
      </c>
    </row>
    <row r="8" customFormat="false" ht="43.25" hidden="false" customHeight="false" outlineLevel="0" collapsed="false">
      <c r="A8" s="12" t="s">
        <v>407</v>
      </c>
      <c r="B8" s="12" t="s">
        <v>436</v>
      </c>
      <c r="C8" s="12" t="s">
        <v>443</v>
      </c>
      <c r="D8" s="13" t="s">
        <v>444</v>
      </c>
      <c r="E8" s="13" t="s">
        <v>445</v>
      </c>
      <c r="F8" s="65" t="s">
        <v>446</v>
      </c>
      <c r="G8" s="13" t="s">
        <v>447</v>
      </c>
      <c r="H8" s="13" t="s">
        <v>448</v>
      </c>
    </row>
    <row r="9" customFormat="false" ht="32.8" hidden="false" customHeight="false" outlineLevel="0" collapsed="false">
      <c r="A9" s="12" t="s">
        <v>411</v>
      </c>
      <c r="B9" s="12" t="s">
        <v>436</v>
      </c>
      <c r="C9" s="12" t="s">
        <v>449</v>
      </c>
      <c r="D9" s="13" t="s">
        <v>450</v>
      </c>
      <c r="E9" s="13" t="s">
        <v>451</v>
      </c>
      <c r="F9" s="65" t="s">
        <v>452</v>
      </c>
      <c r="G9" s="13" t="s">
        <v>453</v>
      </c>
      <c r="H9" s="13" t="s">
        <v>454</v>
      </c>
    </row>
    <row r="10" customFormat="false" ht="32.8" hidden="false" customHeight="false" outlineLevel="0" collapsed="false">
      <c r="A10" s="12" t="s">
        <v>415</v>
      </c>
      <c r="B10" s="12" t="s">
        <v>436</v>
      </c>
      <c r="C10" s="12" t="s">
        <v>311</v>
      </c>
      <c r="D10" s="13" t="s">
        <v>455</v>
      </c>
      <c r="E10" s="13" t="s">
        <v>456</v>
      </c>
      <c r="F10" s="65" t="s">
        <v>457</v>
      </c>
      <c r="G10" s="13" t="s">
        <v>458</v>
      </c>
      <c r="H10" s="13" t="s">
        <v>459</v>
      </c>
    </row>
    <row r="12" customFormat="false" ht="15" hidden="false" customHeight="false" outlineLevel="0" collapsed="false">
      <c r="A12" s="64" t="s">
        <v>460</v>
      </c>
      <c r="B12" s="64"/>
      <c r="C12" s="64"/>
      <c r="D12" s="64"/>
      <c r="E12" s="64"/>
      <c r="F12" s="64"/>
      <c r="G12" s="64"/>
      <c r="H12" s="64"/>
      <c r="I12" s="64"/>
      <c r="J12" s="64"/>
    </row>
    <row r="14" customFormat="false" ht="15" hidden="false" customHeight="false" outlineLevel="0" collapsed="false">
      <c r="A14" s="6" t="s">
        <v>399</v>
      </c>
      <c r="B14" s="6" t="s">
        <v>18</v>
      </c>
      <c r="C14" s="6" t="s">
        <v>5</v>
      </c>
      <c r="D14" s="6" t="s">
        <v>6</v>
      </c>
      <c r="E14" s="6" t="s">
        <v>432</v>
      </c>
      <c r="F14" s="6" t="s">
        <v>433</v>
      </c>
      <c r="G14" s="6" t="s">
        <v>434</v>
      </c>
      <c r="H14" s="6" t="s">
        <v>435</v>
      </c>
    </row>
    <row r="15" customFormat="false" ht="32.8" hidden="false" customHeight="false" outlineLevel="0" collapsed="false">
      <c r="A15" s="66" t="s">
        <v>419</v>
      </c>
      <c r="B15" s="66" t="s">
        <v>461</v>
      </c>
      <c r="C15" s="66" t="s">
        <v>84</v>
      </c>
      <c r="D15" s="67" t="s">
        <v>85</v>
      </c>
      <c r="E15" s="67" t="s">
        <v>462</v>
      </c>
      <c r="F15" s="67" t="s">
        <v>463</v>
      </c>
      <c r="G15" s="67" t="s">
        <v>464</v>
      </c>
      <c r="H15" s="67" t="s">
        <v>465</v>
      </c>
    </row>
    <row r="16" customFormat="false" ht="43.25" hidden="false" customHeight="false" outlineLevel="0" collapsed="false">
      <c r="A16" s="66" t="s">
        <v>423</v>
      </c>
      <c r="B16" s="66" t="s">
        <v>461</v>
      </c>
      <c r="C16" s="66" t="s">
        <v>103</v>
      </c>
      <c r="D16" s="67" t="s">
        <v>104</v>
      </c>
      <c r="E16" s="67" t="s">
        <v>466</v>
      </c>
      <c r="F16" s="67" t="s">
        <v>467</v>
      </c>
      <c r="G16" s="67" t="s">
        <v>468</v>
      </c>
      <c r="H16" s="67" t="s">
        <v>469</v>
      </c>
    </row>
    <row r="17" customFormat="false" ht="43.25" hidden="false" customHeight="false" outlineLevel="0" collapsed="false">
      <c r="A17" s="66" t="s">
        <v>470</v>
      </c>
      <c r="B17" s="66" t="s">
        <v>471</v>
      </c>
      <c r="C17" s="66" t="s">
        <v>110</v>
      </c>
      <c r="D17" s="67" t="s">
        <v>111</v>
      </c>
      <c r="E17" s="67" t="s">
        <v>472</v>
      </c>
      <c r="F17" s="67" t="s">
        <v>473</v>
      </c>
      <c r="G17" s="67" t="s">
        <v>474</v>
      </c>
      <c r="H17" s="67" t="s">
        <v>475</v>
      </c>
    </row>
    <row r="18" customFormat="false" ht="32.8" hidden="false" customHeight="false" outlineLevel="0" collapsed="false">
      <c r="A18" s="66" t="s">
        <v>476</v>
      </c>
      <c r="B18" s="66" t="s">
        <v>477</v>
      </c>
      <c r="C18" s="66" t="s">
        <v>136</v>
      </c>
      <c r="D18" s="67" t="s">
        <v>137</v>
      </c>
      <c r="E18" s="67" t="s">
        <v>478</v>
      </c>
      <c r="F18" s="67" t="s">
        <v>479</v>
      </c>
      <c r="G18" s="67" t="s">
        <v>480</v>
      </c>
      <c r="H18" s="67" t="s">
        <v>481</v>
      </c>
    </row>
    <row r="20" customFormat="false" ht="15" hidden="false" customHeight="false" outlineLevel="0" collapsed="false">
      <c r="A20" s="64" t="s">
        <v>482</v>
      </c>
      <c r="B20" s="64"/>
      <c r="C20" s="64"/>
      <c r="D20" s="64"/>
      <c r="E20" s="64"/>
      <c r="F20" s="64"/>
      <c r="G20" s="64"/>
      <c r="H20" s="64"/>
      <c r="I20" s="64"/>
      <c r="J20" s="64"/>
    </row>
    <row r="22" customFormat="false" ht="15" hidden="false" customHeight="false" outlineLevel="0" collapsed="false">
      <c r="A22" s="6" t="s">
        <v>399</v>
      </c>
      <c r="B22" s="6" t="s">
        <v>18</v>
      </c>
      <c r="C22" s="6" t="s">
        <v>5</v>
      </c>
      <c r="D22" s="6" t="s">
        <v>6</v>
      </c>
      <c r="E22" s="6" t="s">
        <v>432</v>
      </c>
      <c r="F22" s="6" t="s">
        <v>433</v>
      </c>
      <c r="G22" s="6" t="s">
        <v>434</v>
      </c>
      <c r="H22" s="6" t="s">
        <v>435</v>
      </c>
    </row>
    <row r="23" customFormat="false" ht="32.8" hidden="false" customHeight="false" outlineLevel="0" collapsed="false">
      <c r="A23" s="68" t="s">
        <v>87</v>
      </c>
      <c r="B23" s="68" t="s">
        <v>19</v>
      </c>
      <c r="C23" s="68" t="s">
        <v>20</v>
      </c>
      <c r="D23" s="69" t="s">
        <v>21</v>
      </c>
      <c r="E23" s="69" t="s">
        <v>483</v>
      </c>
      <c r="F23" s="70" t="s">
        <v>484</v>
      </c>
      <c r="G23" s="69" t="s">
        <v>485</v>
      </c>
      <c r="H23" s="69" t="s">
        <v>486</v>
      </c>
    </row>
    <row r="24" customFormat="false" ht="32.8" hidden="false" customHeight="false" outlineLevel="0" collapsed="false">
      <c r="A24" s="68" t="s">
        <v>87</v>
      </c>
      <c r="B24" s="68" t="s">
        <v>19</v>
      </c>
      <c r="C24" s="68" t="s">
        <v>31</v>
      </c>
      <c r="D24" s="69" t="s">
        <v>32</v>
      </c>
      <c r="E24" s="69" t="s">
        <v>487</v>
      </c>
      <c r="F24" s="71" t="s">
        <v>488</v>
      </c>
      <c r="G24" s="69" t="s">
        <v>489</v>
      </c>
      <c r="H24" s="69" t="s">
        <v>490</v>
      </c>
    </row>
    <row r="25" customFormat="false" ht="22.35" hidden="false" customHeight="false" outlineLevel="0" collapsed="false">
      <c r="A25" s="68" t="s">
        <v>87</v>
      </c>
      <c r="B25" s="68" t="s">
        <v>19</v>
      </c>
      <c r="C25" s="68" t="s">
        <v>53</v>
      </c>
      <c r="D25" s="69" t="s">
        <v>54</v>
      </c>
      <c r="E25" s="69" t="s">
        <v>491</v>
      </c>
      <c r="F25" s="71" t="s">
        <v>492</v>
      </c>
      <c r="G25" s="69" t="s">
        <v>493</v>
      </c>
      <c r="H25" s="69" t="s">
        <v>494</v>
      </c>
    </row>
    <row r="26" customFormat="false" ht="22.35" hidden="false" customHeight="false" outlineLevel="0" collapsed="false">
      <c r="A26" s="68" t="s">
        <v>87</v>
      </c>
      <c r="B26" s="68" t="s">
        <v>19</v>
      </c>
      <c r="C26" s="68" t="s">
        <v>118</v>
      </c>
      <c r="D26" s="69" t="s">
        <v>119</v>
      </c>
      <c r="E26" s="69" t="s">
        <v>495</v>
      </c>
      <c r="F26" s="71" t="s">
        <v>496</v>
      </c>
      <c r="G26" s="69" t="s">
        <v>497</v>
      </c>
      <c r="H26" s="69" t="s">
        <v>498</v>
      </c>
    </row>
    <row r="27" customFormat="false" ht="22.35" hidden="false" customHeight="false" outlineLevel="0" collapsed="false">
      <c r="A27" s="68" t="s">
        <v>87</v>
      </c>
      <c r="B27" s="68" t="s">
        <v>19</v>
      </c>
      <c r="C27" s="68" t="s">
        <v>63</v>
      </c>
      <c r="D27" s="69" t="s">
        <v>64</v>
      </c>
      <c r="E27" s="69" t="s">
        <v>499</v>
      </c>
      <c r="F27" s="71" t="s">
        <v>500</v>
      </c>
      <c r="G27" s="69" t="s">
        <v>501</v>
      </c>
      <c r="H27" s="69" t="s">
        <v>502</v>
      </c>
    </row>
    <row r="28" customFormat="false" ht="22.35" hidden="false" customHeight="false" outlineLevel="0" collapsed="false">
      <c r="A28" s="68" t="s">
        <v>87</v>
      </c>
      <c r="B28" s="68" t="s">
        <v>19</v>
      </c>
      <c r="C28" s="68" t="s">
        <v>179</v>
      </c>
      <c r="D28" s="69" t="s">
        <v>180</v>
      </c>
      <c r="E28" s="69" t="s">
        <v>503</v>
      </c>
      <c r="F28" s="71" t="s">
        <v>504</v>
      </c>
      <c r="G28" s="69" t="s">
        <v>505</v>
      </c>
      <c r="H28" s="69" t="s">
        <v>506</v>
      </c>
    </row>
    <row r="29" customFormat="false" ht="22.35" hidden="false" customHeight="false" outlineLevel="0" collapsed="false">
      <c r="A29" s="68" t="s">
        <v>87</v>
      </c>
      <c r="B29" s="68" t="s">
        <v>19</v>
      </c>
      <c r="C29" s="68" t="s">
        <v>507</v>
      </c>
      <c r="D29" s="69" t="s">
        <v>508</v>
      </c>
      <c r="E29" s="69" t="s">
        <v>509</v>
      </c>
      <c r="F29" s="70" t="s">
        <v>510</v>
      </c>
      <c r="G29" s="69" t="s">
        <v>511</v>
      </c>
      <c r="H29" s="69" t="s">
        <v>512</v>
      </c>
    </row>
    <row r="31" customFormat="false" ht="15" hidden="false" customHeight="false" outlineLevel="0" collapsed="false">
      <c r="A31" s="64" t="s">
        <v>513</v>
      </c>
      <c r="B31" s="64"/>
      <c r="C31" s="64"/>
      <c r="D31" s="64"/>
      <c r="E31" s="64"/>
      <c r="F31" s="64"/>
      <c r="G31" s="64"/>
      <c r="H31" s="64"/>
      <c r="I31" s="64"/>
      <c r="J31" s="64"/>
    </row>
    <row r="33" customFormat="false" ht="22.35" hidden="false" customHeight="false" outlineLevel="0" collapsed="false">
      <c r="A33" s="6" t="s">
        <v>514</v>
      </c>
      <c r="B33" s="6" t="s">
        <v>18</v>
      </c>
      <c r="C33" s="6" t="s">
        <v>5</v>
      </c>
      <c r="D33" s="6" t="s">
        <v>6</v>
      </c>
      <c r="E33" s="6" t="s">
        <v>360</v>
      </c>
      <c r="F33" s="6" t="s">
        <v>7</v>
      </c>
      <c r="G33" s="6" t="s">
        <v>515</v>
      </c>
      <c r="H33" s="6" t="s">
        <v>516</v>
      </c>
    </row>
    <row r="34" customFormat="false" ht="22.35" hidden="false" customHeight="false" outlineLevel="0" collapsed="false">
      <c r="A34" s="19" t="s">
        <v>517</v>
      </c>
      <c r="B34" s="19" t="s">
        <v>518</v>
      </c>
      <c r="C34" s="19" t="s">
        <v>170</v>
      </c>
      <c r="D34" s="20" t="s">
        <v>171</v>
      </c>
      <c r="E34" s="19" t="s">
        <v>388</v>
      </c>
      <c r="F34" s="20" t="s">
        <v>172</v>
      </c>
      <c r="G34" s="20" t="s">
        <v>519</v>
      </c>
      <c r="H34" s="20" t="s">
        <v>520</v>
      </c>
    </row>
    <row r="35" customFormat="false" ht="22.35" hidden="false" customHeight="false" outlineLevel="0" collapsed="false">
      <c r="A35" s="19" t="s">
        <v>521</v>
      </c>
      <c r="B35" s="19" t="s">
        <v>518</v>
      </c>
      <c r="C35" s="19" t="s">
        <v>42</v>
      </c>
      <c r="D35" s="20" t="s">
        <v>43</v>
      </c>
      <c r="E35" s="19" t="s">
        <v>522</v>
      </c>
      <c r="F35" s="20" t="s">
        <v>44</v>
      </c>
      <c r="G35" s="20" t="s">
        <v>523</v>
      </c>
      <c r="H35" s="20" t="s">
        <v>524</v>
      </c>
    </row>
    <row r="36" customFormat="false" ht="22.35" hidden="false" customHeight="false" outlineLevel="0" collapsed="false">
      <c r="A36" s="16" t="s">
        <v>525</v>
      </c>
      <c r="B36" s="16" t="s">
        <v>518</v>
      </c>
      <c r="C36" s="16" t="s">
        <v>126</v>
      </c>
      <c r="D36" s="17" t="s">
        <v>127</v>
      </c>
      <c r="E36" s="16" t="s">
        <v>365</v>
      </c>
      <c r="F36" s="17" t="s">
        <v>389</v>
      </c>
      <c r="G36" s="17" t="s">
        <v>526</v>
      </c>
      <c r="H36" s="17" t="s">
        <v>527</v>
      </c>
    </row>
    <row r="37" customFormat="false" ht="22.35" hidden="false" customHeight="false" outlineLevel="0" collapsed="false">
      <c r="A37" s="7" t="s">
        <v>528</v>
      </c>
      <c r="B37" s="7" t="s">
        <v>529</v>
      </c>
      <c r="C37" s="7" t="s">
        <v>20</v>
      </c>
      <c r="D37" s="8" t="s">
        <v>21</v>
      </c>
      <c r="E37" s="7" t="s">
        <v>370</v>
      </c>
      <c r="F37" s="8" t="s">
        <v>22</v>
      </c>
      <c r="G37" s="8" t="s">
        <v>530</v>
      </c>
      <c r="H37" s="8" t="s">
        <v>531</v>
      </c>
    </row>
    <row r="38" customFormat="false" ht="22.35" hidden="false" customHeight="false" outlineLevel="0" collapsed="false">
      <c r="A38" s="16" t="s">
        <v>532</v>
      </c>
      <c r="B38" s="16" t="s">
        <v>518</v>
      </c>
      <c r="C38" s="16" t="s">
        <v>142</v>
      </c>
      <c r="D38" s="17" t="s">
        <v>143</v>
      </c>
      <c r="E38" s="16" t="s">
        <v>370</v>
      </c>
      <c r="F38" s="17" t="s">
        <v>533</v>
      </c>
      <c r="G38" s="17" t="s">
        <v>534</v>
      </c>
      <c r="H38" s="17" t="s">
        <v>535</v>
      </c>
    </row>
    <row r="39" customFormat="false" ht="22.35" hidden="false" customHeight="false" outlineLevel="0" collapsed="false">
      <c r="A39" s="16" t="s">
        <v>536</v>
      </c>
      <c r="B39" s="16" t="s">
        <v>518</v>
      </c>
      <c r="C39" s="16" t="s">
        <v>151</v>
      </c>
      <c r="D39" s="17" t="s">
        <v>152</v>
      </c>
      <c r="E39" s="16" t="s">
        <v>375</v>
      </c>
      <c r="F39" s="17" t="s">
        <v>394</v>
      </c>
      <c r="G39" s="17" t="s">
        <v>537</v>
      </c>
      <c r="H39" s="17" t="s">
        <v>538</v>
      </c>
    </row>
    <row r="40" customFormat="false" ht="22.35" hidden="false" customHeight="false" outlineLevel="0" collapsed="false">
      <c r="A40" s="19" t="s">
        <v>539</v>
      </c>
      <c r="B40" s="19" t="s">
        <v>518</v>
      </c>
      <c r="C40" s="19" t="s">
        <v>160</v>
      </c>
      <c r="D40" s="20" t="s">
        <v>161</v>
      </c>
      <c r="E40" s="19" t="s">
        <v>540</v>
      </c>
      <c r="F40" s="20" t="s">
        <v>162</v>
      </c>
      <c r="G40" s="20" t="s">
        <v>541</v>
      </c>
      <c r="H40" s="20" t="s">
        <v>542</v>
      </c>
    </row>
    <row r="41" customFormat="false" ht="22.35" hidden="false" customHeight="false" outlineLevel="0" collapsed="false">
      <c r="A41" s="28" t="s">
        <v>87</v>
      </c>
      <c r="B41" s="28" t="s">
        <v>188</v>
      </c>
      <c r="C41" s="28" t="s">
        <v>87</v>
      </c>
      <c r="D41" s="29" t="s">
        <v>190</v>
      </c>
      <c r="E41" s="28" t="s">
        <v>543</v>
      </c>
      <c r="F41" s="29" t="s">
        <v>544</v>
      </c>
      <c r="G41" s="29" t="s">
        <v>545</v>
      </c>
      <c r="H41" s="29" t="s">
        <v>546</v>
      </c>
    </row>
  </sheetData>
  <mergeCells count="6">
    <mergeCell ref="A1:J1"/>
    <mergeCell ref="A2:J2"/>
    <mergeCell ref="A4:J4"/>
    <mergeCell ref="A12:J12"/>
    <mergeCell ref="A20:J20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0" min="10" style="0" width="8"/>
  </cols>
  <sheetData>
    <row r="1" customFormat="false" ht="16.15" hidden="false" customHeight="false" outlineLevel="0" collapsed="false">
      <c r="A1" s="62" t="s">
        <v>547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customFormat="false" ht="15" hidden="false" customHeight="false" outlineLevel="0" collapsed="false">
      <c r="A2" s="63" t="s">
        <v>548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customFormat="false" ht="22.35" hidden="false" customHeight="false" outlineLevel="0" collapsed="false">
      <c r="A3" s="6" t="s">
        <v>7</v>
      </c>
      <c r="B3" s="6" t="s">
        <v>5</v>
      </c>
      <c r="C3" s="6" t="s">
        <v>6</v>
      </c>
      <c r="D3" s="6" t="s">
        <v>549</v>
      </c>
      <c r="E3" s="6" t="s">
        <v>550</v>
      </c>
      <c r="F3" s="6" t="s">
        <v>551</v>
      </c>
      <c r="G3" s="6" t="s">
        <v>552</v>
      </c>
      <c r="H3" s="6" t="s">
        <v>553</v>
      </c>
      <c r="I3" s="6" t="s">
        <v>554</v>
      </c>
      <c r="J3" s="6" t="s">
        <v>555</v>
      </c>
    </row>
    <row r="4" customFormat="false" ht="22.35" hidden="false" customHeight="false" outlineLevel="0" collapsed="false">
      <c r="A4" s="7" t="s">
        <v>22</v>
      </c>
      <c r="B4" s="7" t="s">
        <v>20</v>
      </c>
      <c r="C4" s="7" t="s">
        <v>21</v>
      </c>
      <c r="D4" s="7" t="s">
        <v>556</v>
      </c>
      <c r="E4" s="7" t="s">
        <v>557</v>
      </c>
      <c r="F4" s="8" t="s">
        <v>558</v>
      </c>
      <c r="G4" s="8" t="s">
        <v>269</v>
      </c>
      <c r="H4" s="8" t="s">
        <v>559</v>
      </c>
      <c r="I4" s="8" t="s">
        <v>560</v>
      </c>
      <c r="J4" s="7" t="s">
        <v>561</v>
      </c>
    </row>
    <row r="5" customFormat="false" ht="32.8" hidden="false" customHeight="false" outlineLevel="0" collapsed="false">
      <c r="A5" s="7" t="s">
        <v>33</v>
      </c>
      <c r="B5" s="7" t="s">
        <v>31</v>
      </c>
      <c r="C5" s="7" t="s">
        <v>32</v>
      </c>
      <c r="D5" s="7" t="s">
        <v>562</v>
      </c>
      <c r="E5" s="7" t="s">
        <v>563</v>
      </c>
      <c r="F5" s="8" t="s">
        <v>564</v>
      </c>
      <c r="G5" s="8" t="s">
        <v>565</v>
      </c>
      <c r="H5" s="8" t="s">
        <v>566</v>
      </c>
      <c r="I5" s="8" t="s">
        <v>567</v>
      </c>
      <c r="J5" s="7" t="s">
        <v>568</v>
      </c>
    </row>
    <row r="6" customFormat="false" ht="22.35" hidden="false" customHeight="false" outlineLevel="0" collapsed="false">
      <c r="A6" s="22" t="s">
        <v>172</v>
      </c>
      <c r="B6" s="22" t="s">
        <v>170</v>
      </c>
      <c r="C6" s="22" t="s">
        <v>171</v>
      </c>
      <c r="D6" s="22" t="s">
        <v>569</v>
      </c>
      <c r="E6" s="22" t="s">
        <v>570</v>
      </c>
      <c r="F6" s="23" t="s">
        <v>571</v>
      </c>
      <c r="G6" s="23" t="s">
        <v>572</v>
      </c>
      <c r="H6" s="23" t="s">
        <v>573</v>
      </c>
      <c r="I6" s="23" t="s">
        <v>574</v>
      </c>
      <c r="J6" s="22" t="s">
        <v>575</v>
      </c>
    </row>
    <row r="7" customFormat="false" ht="32.8" hidden="false" customHeight="false" outlineLevel="0" collapsed="false">
      <c r="A7" s="7" t="s">
        <v>55</v>
      </c>
      <c r="B7" s="7" t="s">
        <v>53</v>
      </c>
      <c r="C7" s="7" t="s">
        <v>54</v>
      </c>
      <c r="D7" s="7" t="s">
        <v>576</v>
      </c>
      <c r="E7" s="7" t="s">
        <v>577</v>
      </c>
      <c r="F7" s="8" t="s">
        <v>578</v>
      </c>
      <c r="G7" s="8" t="s">
        <v>269</v>
      </c>
      <c r="H7" s="8" t="s">
        <v>579</v>
      </c>
      <c r="I7" s="8" t="s">
        <v>580</v>
      </c>
      <c r="J7" s="7" t="s">
        <v>581</v>
      </c>
    </row>
    <row r="8" customFormat="false" ht="32.8" hidden="false" customHeight="false" outlineLevel="0" collapsed="false">
      <c r="A8" s="66" t="s">
        <v>86</v>
      </c>
      <c r="B8" s="66" t="s">
        <v>84</v>
      </c>
      <c r="C8" s="66" t="s">
        <v>85</v>
      </c>
      <c r="D8" s="66" t="s">
        <v>582</v>
      </c>
      <c r="E8" s="66" t="s">
        <v>577</v>
      </c>
      <c r="F8" s="67" t="s">
        <v>583</v>
      </c>
      <c r="G8" s="67" t="s">
        <v>584</v>
      </c>
      <c r="H8" s="67" t="s">
        <v>585</v>
      </c>
      <c r="I8" s="67" t="s">
        <v>586</v>
      </c>
      <c r="J8" s="66" t="s">
        <v>587</v>
      </c>
    </row>
    <row r="9" customFormat="false" ht="32.8" hidden="false" customHeight="false" outlineLevel="0" collapsed="false">
      <c r="A9" s="7" t="s">
        <v>588</v>
      </c>
      <c r="B9" s="7" t="s">
        <v>118</v>
      </c>
      <c r="C9" s="7" t="s">
        <v>119</v>
      </c>
      <c r="D9" s="7" t="s">
        <v>589</v>
      </c>
      <c r="E9" s="7" t="s">
        <v>577</v>
      </c>
      <c r="F9" s="8" t="s">
        <v>590</v>
      </c>
      <c r="G9" s="8" t="s">
        <v>591</v>
      </c>
      <c r="H9" s="8" t="s">
        <v>592</v>
      </c>
      <c r="I9" s="8" t="s">
        <v>593</v>
      </c>
      <c r="J9" s="7" t="s">
        <v>581</v>
      </c>
    </row>
    <row r="10" customFormat="false" ht="32.8" hidden="false" customHeight="false" outlineLevel="0" collapsed="false">
      <c r="A10" s="7" t="s">
        <v>209</v>
      </c>
      <c r="B10" s="7" t="s">
        <v>42</v>
      </c>
      <c r="C10" s="7" t="s">
        <v>43</v>
      </c>
      <c r="D10" s="7" t="s">
        <v>594</v>
      </c>
      <c r="E10" s="7" t="s">
        <v>595</v>
      </c>
      <c r="F10" s="8" t="s">
        <v>596</v>
      </c>
      <c r="G10" s="8" t="s">
        <v>269</v>
      </c>
      <c r="H10" s="8" t="s">
        <v>597</v>
      </c>
      <c r="I10" s="8" t="s">
        <v>598</v>
      </c>
      <c r="J10" s="7" t="s">
        <v>581</v>
      </c>
    </row>
    <row r="11" customFormat="false" ht="22.35" hidden="false" customHeight="false" outlineLevel="0" collapsed="false">
      <c r="A11" s="66" t="s">
        <v>105</v>
      </c>
      <c r="B11" s="66" t="s">
        <v>103</v>
      </c>
      <c r="C11" s="66" t="s">
        <v>104</v>
      </c>
      <c r="D11" s="66" t="s">
        <v>599</v>
      </c>
      <c r="E11" s="66" t="s">
        <v>600</v>
      </c>
      <c r="F11" s="67" t="s">
        <v>601</v>
      </c>
      <c r="G11" s="67" t="s">
        <v>565</v>
      </c>
      <c r="H11" s="67" t="s">
        <v>602</v>
      </c>
      <c r="I11" s="67" t="s">
        <v>603</v>
      </c>
      <c r="J11" s="66" t="s">
        <v>604</v>
      </c>
    </row>
    <row r="12" customFormat="false" ht="43.25" hidden="false" customHeight="false" outlineLevel="0" collapsed="false">
      <c r="A12" s="66" t="s">
        <v>588</v>
      </c>
      <c r="B12" s="66" t="s">
        <v>110</v>
      </c>
      <c r="C12" s="66" t="s">
        <v>111</v>
      </c>
      <c r="D12" s="66" t="s">
        <v>599</v>
      </c>
      <c r="E12" s="66" t="s">
        <v>600</v>
      </c>
      <c r="F12" s="67" t="s">
        <v>605</v>
      </c>
      <c r="G12" s="67" t="s">
        <v>606</v>
      </c>
      <c r="H12" s="67" t="s">
        <v>607</v>
      </c>
      <c r="I12" s="67" t="s">
        <v>608</v>
      </c>
      <c r="J12" s="66" t="s">
        <v>604</v>
      </c>
    </row>
    <row r="13" customFormat="false" ht="22.35" hidden="false" customHeight="false" outlineLevel="0" collapsed="false">
      <c r="A13" s="16" t="s">
        <v>138</v>
      </c>
      <c r="B13" s="16" t="s">
        <v>136</v>
      </c>
      <c r="C13" s="16" t="s">
        <v>137</v>
      </c>
      <c r="D13" s="16" t="s">
        <v>599</v>
      </c>
      <c r="E13" s="16" t="s">
        <v>600</v>
      </c>
      <c r="F13" s="17" t="s">
        <v>609</v>
      </c>
      <c r="G13" s="17" t="s">
        <v>572</v>
      </c>
      <c r="H13" s="17" t="s">
        <v>610</v>
      </c>
      <c r="I13" s="17" t="s">
        <v>611</v>
      </c>
      <c r="J13" s="16" t="s">
        <v>581</v>
      </c>
    </row>
    <row r="14" customFormat="false" ht="32.8" hidden="false" customHeight="false" outlineLevel="0" collapsed="false">
      <c r="A14" s="7" t="s">
        <v>612</v>
      </c>
      <c r="B14" s="7" t="s">
        <v>63</v>
      </c>
      <c r="C14" s="7" t="s">
        <v>64</v>
      </c>
      <c r="D14" s="7" t="s">
        <v>613</v>
      </c>
      <c r="E14" s="7" t="s">
        <v>600</v>
      </c>
      <c r="F14" s="8" t="s">
        <v>614</v>
      </c>
      <c r="G14" s="8" t="s">
        <v>565</v>
      </c>
      <c r="H14" s="8" t="s">
        <v>615</v>
      </c>
      <c r="I14" s="8" t="s">
        <v>616</v>
      </c>
      <c r="J14" s="7" t="s">
        <v>581</v>
      </c>
    </row>
    <row r="15" customFormat="false" ht="22.35" hidden="false" customHeight="false" outlineLevel="0" collapsed="false">
      <c r="A15" s="16" t="s">
        <v>389</v>
      </c>
      <c r="B15" s="16" t="s">
        <v>126</v>
      </c>
      <c r="C15" s="16" t="s">
        <v>127</v>
      </c>
      <c r="D15" s="16" t="s">
        <v>617</v>
      </c>
      <c r="E15" s="16" t="s">
        <v>600</v>
      </c>
      <c r="F15" s="17" t="s">
        <v>618</v>
      </c>
      <c r="G15" s="17" t="s">
        <v>572</v>
      </c>
      <c r="H15" s="17" t="s">
        <v>619</v>
      </c>
      <c r="I15" s="17" t="s">
        <v>611</v>
      </c>
      <c r="J15" s="16" t="s">
        <v>568</v>
      </c>
    </row>
    <row r="16" customFormat="false" ht="32.8" hidden="false" customHeight="false" outlineLevel="0" collapsed="false">
      <c r="A16" s="25" t="s">
        <v>181</v>
      </c>
      <c r="B16" s="25" t="s">
        <v>179</v>
      </c>
      <c r="C16" s="25" t="s">
        <v>180</v>
      </c>
      <c r="D16" s="25" t="s">
        <v>620</v>
      </c>
      <c r="E16" s="25" t="s">
        <v>600</v>
      </c>
      <c r="F16" s="26" t="s">
        <v>470</v>
      </c>
      <c r="G16" s="26" t="s">
        <v>572</v>
      </c>
      <c r="H16" s="26" t="s">
        <v>621</v>
      </c>
      <c r="I16" s="26" t="s">
        <v>622</v>
      </c>
      <c r="J16" s="25" t="s">
        <v>581</v>
      </c>
    </row>
    <row r="17" customFormat="false" ht="32.8" hidden="false" customHeight="false" outlineLevel="0" collapsed="false">
      <c r="A17" s="16" t="s">
        <v>144</v>
      </c>
      <c r="B17" s="16" t="s">
        <v>142</v>
      </c>
      <c r="C17" s="16" t="s">
        <v>143</v>
      </c>
      <c r="D17" s="16" t="s">
        <v>623</v>
      </c>
      <c r="E17" s="16" t="s">
        <v>624</v>
      </c>
      <c r="F17" s="17" t="s">
        <v>571</v>
      </c>
      <c r="G17" s="17" t="s">
        <v>572</v>
      </c>
      <c r="H17" s="17" t="s">
        <v>625</v>
      </c>
      <c r="I17" s="17" t="s">
        <v>626</v>
      </c>
      <c r="J17" s="16" t="s">
        <v>568</v>
      </c>
    </row>
    <row r="18" customFormat="false" ht="32.8" hidden="false" customHeight="false" outlineLevel="0" collapsed="false">
      <c r="A18" s="16" t="s">
        <v>153</v>
      </c>
      <c r="B18" s="16" t="s">
        <v>151</v>
      </c>
      <c r="C18" s="16" t="s">
        <v>152</v>
      </c>
      <c r="D18" s="16" t="s">
        <v>627</v>
      </c>
      <c r="E18" s="16" t="s">
        <v>628</v>
      </c>
      <c r="F18" s="17" t="s">
        <v>629</v>
      </c>
      <c r="G18" s="17" t="s">
        <v>572</v>
      </c>
      <c r="H18" s="17" t="s">
        <v>630</v>
      </c>
      <c r="I18" s="17" t="s">
        <v>631</v>
      </c>
      <c r="J18" s="16" t="s">
        <v>581</v>
      </c>
    </row>
    <row r="19" customFormat="false" ht="22.35" hidden="false" customHeight="false" outlineLevel="0" collapsed="false">
      <c r="A19" s="7" t="s">
        <v>632</v>
      </c>
      <c r="B19" s="7" t="s">
        <v>507</v>
      </c>
      <c r="C19" s="7" t="s">
        <v>508</v>
      </c>
      <c r="D19" s="7" t="s">
        <v>633</v>
      </c>
      <c r="E19" s="7" t="s">
        <v>628</v>
      </c>
      <c r="F19" s="8" t="s">
        <v>634</v>
      </c>
      <c r="G19" s="8" t="s">
        <v>565</v>
      </c>
      <c r="H19" s="8" t="s">
        <v>635</v>
      </c>
      <c r="I19" s="8" t="s">
        <v>636</v>
      </c>
      <c r="J19" s="7" t="s">
        <v>587</v>
      </c>
    </row>
    <row r="20" customFormat="false" ht="22.35" hidden="false" customHeight="false" outlineLevel="0" collapsed="false">
      <c r="A20" s="19" t="s">
        <v>162</v>
      </c>
      <c r="B20" s="19" t="s">
        <v>160</v>
      </c>
      <c r="C20" s="19" t="s">
        <v>161</v>
      </c>
      <c r="D20" s="19" t="s">
        <v>637</v>
      </c>
      <c r="E20" s="19" t="s">
        <v>638</v>
      </c>
      <c r="F20" s="20" t="s">
        <v>639</v>
      </c>
      <c r="G20" s="20" t="s">
        <v>606</v>
      </c>
      <c r="H20" s="20" t="s">
        <v>640</v>
      </c>
      <c r="I20" s="20" t="s">
        <v>641</v>
      </c>
      <c r="J20" s="19" t="s">
        <v>642</v>
      </c>
    </row>
    <row r="21" customFormat="false" ht="22.35" hidden="false" customHeight="false" outlineLevel="0" collapsed="false">
      <c r="A21" s="28" t="s">
        <v>190</v>
      </c>
      <c r="B21" s="28" t="s">
        <v>188</v>
      </c>
      <c r="C21" s="28" t="s">
        <v>643</v>
      </c>
      <c r="D21" s="28" t="s">
        <v>644</v>
      </c>
      <c r="E21" s="28" t="s">
        <v>595</v>
      </c>
      <c r="F21" s="29" t="s">
        <v>87</v>
      </c>
      <c r="G21" s="29" t="s">
        <v>645</v>
      </c>
      <c r="H21" s="29" t="s">
        <v>646</v>
      </c>
      <c r="I21" s="29" t="s">
        <v>647</v>
      </c>
      <c r="J21" s="28" t="s">
        <v>87</v>
      </c>
    </row>
    <row r="22" customFormat="false" ht="52.2" hidden="false" customHeight="false" outlineLevel="0" collapsed="false">
      <c r="B22" s="30" t="s">
        <v>197</v>
      </c>
      <c r="D22" s="30" t="s">
        <v>648</v>
      </c>
      <c r="E22" s="30" t="s">
        <v>649</v>
      </c>
    </row>
    <row r="24" customFormat="false" ht="15" hidden="false" customHeight="false" outlineLevel="0" collapsed="false">
      <c r="A24" s="64" t="s">
        <v>650</v>
      </c>
      <c r="B24" s="64"/>
      <c r="C24" s="64"/>
      <c r="D24" s="64"/>
      <c r="E24" s="64"/>
      <c r="F24" s="64"/>
      <c r="G24" s="64"/>
      <c r="H24" s="64"/>
      <c r="I24" s="64"/>
      <c r="J24" s="64"/>
    </row>
    <row r="26" customFormat="false" ht="22.35" hidden="false" customHeight="false" outlineLevel="0" collapsed="false">
      <c r="A26" s="6" t="s">
        <v>7</v>
      </c>
      <c r="B26" s="6" t="s">
        <v>651</v>
      </c>
      <c r="C26" s="6" t="s">
        <v>549</v>
      </c>
      <c r="D26" s="6" t="s">
        <v>652</v>
      </c>
      <c r="E26" s="6" t="s">
        <v>17</v>
      </c>
      <c r="F26" s="6" t="s">
        <v>653</v>
      </c>
    </row>
    <row r="27" customFormat="false" ht="22.35" hidden="false" customHeight="false" outlineLevel="0" collapsed="false">
      <c r="A27" s="7" t="s">
        <v>654</v>
      </c>
      <c r="B27" s="8" t="s">
        <v>476</v>
      </c>
      <c r="C27" s="7" t="s">
        <v>655</v>
      </c>
      <c r="D27" s="7" t="s">
        <v>656</v>
      </c>
      <c r="E27" s="8" t="s">
        <v>657</v>
      </c>
      <c r="F27" s="8" t="s">
        <v>658</v>
      </c>
    </row>
    <row r="28" customFormat="false" ht="22.35" hidden="false" customHeight="false" outlineLevel="0" collapsed="false">
      <c r="A28" s="16" t="s">
        <v>659</v>
      </c>
      <c r="B28" s="17" t="s">
        <v>415</v>
      </c>
      <c r="C28" s="16" t="s">
        <v>660</v>
      </c>
      <c r="D28" s="16" t="s">
        <v>661</v>
      </c>
      <c r="E28" s="17" t="s">
        <v>662</v>
      </c>
      <c r="F28" s="17" t="s">
        <v>663</v>
      </c>
    </row>
    <row r="29" customFormat="false" ht="22.35" hidden="false" customHeight="false" outlineLevel="0" collapsed="false">
      <c r="A29" s="16" t="s">
        <v>664</v>
      </c>
      <c r="B29" s="17" t="s">
        <v>665</v>
      </c>
      <c r="C29" s="16" t="s">
        <v>599</v>
      </c>
      <c r="D29" s="16" t="s">
        <v>600</v>
      </c>
      <c r="E29" s="17" t="s">
        <v>666</v>
      </c>
      <c r="F29" s="17" t="s">
        <v>667</v>
      </c>
    </row>
    <row r="30" customFormat="false" ht="22.35" hidden="false" customHeight="false" outlineLevel="0" collapsed="false">
      <c r="A30" s="22" t="s">
        <v>172</v>
      </c>
      <c r="B30" s="23" t="s">
        <v>403</v>
      </c>
      <c r="C30" s="22" t="s">
        <v>569</v>
      </c>
      <c r="D30" s="22" t="s">
        <v>570</v>
      </c>
      <c r="E30" s="23" t="s">
        <v>668</v>
      </c>
      <c r="F30" s="23" t="s">
        <v>669</v>
      </c>
    </row>
    <row r="31" customFormat="false" ht="32.8" hidden="false" customHeight="false" outlineLevel="0" collapsed="false">
      <c r="A31" s="25" t="s">
        <v>670</v>
      </c>
      <c r="B31" s="26" t="s">
        <v>403</v>
      </c>
      <c r="C31" s="25" t="s">
        <v>620</v>
      </c>
      <c r="D31" s="25" t="s">
        <v>600</v>
      </c>
      <c r="E31" s="26" t="s">
        <v>185</v>
      </c>
      <c r="F31" s="26" t="s">
        <v>671</v>
      </c>
    </row>
    <row r="32" customFormat="false" ht="22.35" hidden="false" customHeight="false" outlineLevel="0" collapsed="false">
      <c r="A32" s="28" t="s">
        <v>672</v>
      </c>
      <c r="B32" s="29" t="s">
        <v>403</v>
      </c>
      <c r="C32" s="28" t="s">
        <v>644</v>
      </c>
      <c r="D32" s="28" t="s">
        <v>595</v>
      </c>
      <c r="E32" s="29" t="s">
        <v>673</v>
      </c>
      <c r="F32" s="29" t="s">
        <v>674</v>
      </c>
    </row>
  </sheetData>
  <mergeCells count="3">
    <mergeCell ref="A1:K1"/>
    <mergeCell ref="A2:K2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3"/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25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62" t="s">
        <v>675</v>
      </c>
      <c r="B1" s="62"/>
      <c r="C1" s="62"/>
      <c r="D1" s="62"/>
      <c r="E1" s="62"/>
      <c r="F1" s="62"/>
      <c r="G1" s="62"/>
      <c r="H1" s="62"/>
      <c r="I1" s="62"/>
    </row>
    <row r="2" customFormat="false" ht="15" hidden="false" customHeight="false" outlineLevel="0" collapsed="false">
      <c r="A2" s="63" t="s">
        <v>676</v>
      </c>
      <c r="B2" s="63"/>
      <c r="C2" s="63"/>
      <c r="D2" s="63"/>
      <c r="E2" s="63"/>
      <c r="F2" s="63"/>
      <c r="G2" s="63"/>
      <c r="H2" s="63"/>
      <c r="I2" s="63"/>
    </row>
    <row r="4" customFormat="false" ht="15" hidden="false" customHeight="false" outlineLevel="0" collapsed="false">
      <c r="A4" s="64" t="s">
        <v>677</v>
      </c>
      <c r="B4" s="64"/>
      <c r="C4" s="64"/>
      <c r="D4" s="64"/>
      <c r="E4" s="64"/>
      <c r="F4" s="64"/>
      <c r="G4" s="64"/>
      <c r="H4" s="64"/>
      <c r="I4" s="64"/>
    </row>
    <row r="6" customFormat="false" ht="22.35" hidden="false" customHeight="false" outlineLevel="0" collapsed="false">
      <c r="A6" s="6" t="s">
        <v>5</v>
      </c>
      <c r="B6" s="6" t="s">
        <v>678</v>
      </c>
      <c r="C6" s="6" t="s">
        <v>679</v>
      </c>
      <c r="D6" s="6" t="s">
        <v>680</v>
      </c>
      <c r="E6" s="6" t="s">
        <v>681</v>
      </c>
      <c r="F6" s="6" t="s">
        <v>361</v>
      </c>
      <c r="G6" s="6" t="s">
        <v>682</v>
      </c>
      <c r="H6" s="6" t="s">
        <v>683</v>
      </c>
    </row>
    <row r="7" customFormat="false" ht="53.7" hidden="false" customHeight="false" outlineLevel="0" collapsed="false">
      <c r="A7" s="22" t="s">
        <v>311</v>
      </c>
      <c r="B7" s="23" t="s">
        <v>684</v>
      </c>
      <c r="C7" s="23" t="s">
        <v>685</v>
      </c>
      <c r="D7" s="23" t="s">
        <v>686</v>
      </c>
      <c r="E7" s="22" t="s">
        <v>687</v>
      </c>
      <c r="F7" s="23" t="s">
        <v>688</v>
      </c>
      <c r="G7" s="72" t="s">
        <v>689</v>
      </c>
      <c r="H7" s="23" t="s">
        <v>690</v>
      </c>
    </row>
    <row r="8" customFormat="false" ht="53.7" hidden="false" customHeight="false" outlineLevel="0" collapsed="false">
      <c r="A8" s="22" t="s">
        <v>449</v>
      </c>
      <c r="B8" s="23" t="s">
        <v>691</v>
      </c>
      <c r="C8" s="23" t="s">
        <v>692</v>
      </c>
      <c r="D8" s="23" t="s">
        <v>693</v>
      </c>
      <c r="E8" s="22" t="s">
        <v>694</v>
      </c>
      <c r="F8" s="23" t="s">
        <v>380</v>
      </c>
      <c r="G8" s="23" t="s">
        <v>695</v>
      </c>
      <c r="H8" s="23" t="s">
        <v>696</v>
      </c>
    </row>
    <row r="9" customFormat="false" ht="64.15" hidden="false" customHeight="false" outlineLevel="0" collapsed="false">
      <c r="A9" s="22" t="s">
        <v>443</v>
      </c>
      <c r="B9" s="23" t="s">
        <v>697</v>
      </c>
      <c r="C9" s="23" t="s">
        <v>698</v>
      </c>
      <c r="D9" s="23" t="s">
        <v>699</v>
      </c>
      <c r="E9" s="22" t="s">
        <v>694</v>
      </c>
      <c r="F9" s="23" t="s">
        <v>700</v>
      </c>
      <c r="G9" s="72" t="s">
        <v>701</v>
      </c>
      <c r="H9" s="23" t="s">
        <v>702</v>
      </c>
    </row>
    <row r="10" customFormat="false" ht="22.35" hidden="false" customHeight="false" outlineLevel="0" collapsed="false">
      <c r="A10" s="12" t="s">
        <v>437</v>
      </c>
      <c r="B10" s="13" t="s">
        <v>703</v>
      </c>
      <c r="C10" s="13" t="s">
        <v>704</v>
      </c>
      <c r="D10" s="13" t="s">
        <v>705</v>
      </c>
      <c r="E10" s="12" t="s">
        <v>706</v>
      </c>
      <c r="F10" s="13" t="s">
        <v>87</v>
      </c>
      <c r="G10" s="13" t="s">
        <v>87</v>
      </c>
      <c r="H10" s="13" t="s">
        <v>707</v>
      </c>
    </row>
    <row r="11" customFormat="false" ht="43.25" hidden="false" customHeight="false" outlineLevel="0" collapsed="false">
      <c r="A11" s="22" t="s">
        <v>708</v>
      </c>
      <c r="B11" s="23" t="s">
        <v>709</v>
      </c>
      <c r="C11" s="23" t="s">
        <v>710</v>
      </c>
      <c r="D11" s="23" t="s">
        <v>711</v>
      </c>
      <c r="E11" s="22" t="s">
        <v>712</v>
      </c>
      <c r="F11" s="23" t="s">
        <v>713</v>
      </c>
      <c r="G11" s="72" t="s">
        <v>714</v>
      </c>
      <c r="H11" s="23" t="s">
        <v>715</v>
      </c>
    </row>
    <row r="12" customFormat="false" ht="43.25" hidden="false" customHeight="false" outlineLevel="0" collapsed="false">
      <c r="A12" s="22" t="s">
        <v>94</v>
      </c>
      <c r="B12" s="23" t="s">
        <v>709</v>
      </c>
      <c r="C12" s="23" t="s">
        <v>716</v>
      </c>
      <c r="D12" s="23" t="s">
        <v>717</v>
      </c>
      <c r="E12" s="22" t="s">
        <v>718</v>
      </c>
      <c r="F12" s="23" t="s">
        <v>371</v>
      </c>
      <c r="G12" s="72" t="s">
        <v>719</v>
      </c>
      <c r="H12" s="23" t="s">
        <v>720</v>
      </c>
    </row>
    <row r="14" customFormat="false" ht="15" hidden="false" customHeight="false" outlineLevel="0" collapsed="false">
      <c r="A14" s="64" t="s">
        <v>721</v>
      </c>
      <c r="B14" s="64"/>
      <c r="C14" s="64"/>
      <c r="D14" s="64"/>
      <c r="E14" s="64"/>
      <c r="F14" s="64"/>
      <c r="G14" s="64"/>
      <c r="H14" s="64"/>
      <c r="I14" s="64"/>
    </row>
    <row r="16" customFormat="false" ht="32.8" hidden="false" customHeight="false" outlineLevel="0" collapsed="false">
      <c r="A16" s="6" t="s">
        <v>5</v>
      </c>
      <c r="B16" s="6" t="s">
        <v>432</v>
      </c>
      <c r="C16" s="6" t="s">
        <v>722</v>
      </c>
      <c r="D16" s="6" t="s">
        <v>723</v>
      </c>
      <c r="E16" s="6" t="s">
        <v>724</v>
      </c>
      <c r="F16" s="6" t="s">
        <v>725</v>
      </c>
      <c r="G16" s="6" t="s">
        <v>726</v>
      </c>
    </row>
    <row r="17" customFormat="false" ht="74.6" hidden="false" customHeight="false" outlineLevel="0" collapsed="false">
      <c r="A17" s="66" t="s">
        <v>110</v>
      </c>
      <c r="B17" s="66" t="s">
        <v>599</v>
      </c>
      <c r="C17" s="67" t="s">
        <v>727</v>
      </c>
      <c r="D17" s="67" t="s">
        <v>728</v>
      </c>
      <c r="E17" s="67" t="s">
        <v>729</v>
      </c>
      <c r="F17" s="67" t="s">
        <v>730</v>
      </c>
      <c r="G17" s="67" t="s">
        <v>731</v>
      </c>
    </row>
    <row r="18" customFormat="false" ht="53.7" hidden="false" customHeight="false" outlineLevel="0" collapsed="false">
      <c r="A18" s="68" t="s">
        <v>118</v>
      </c>
      <c r="B18" s="68" t="s">
        <v>589</v>
      </c>
      <c r="C18" s="69" t="s">
        <v>732</v>
      </c>
      <c r="D18" s="69" t="s">
        <v>733</v>
      </c>
      <c r="E18" s="69" t="s">
        <v>734</v>
      </c>
      <c r="F18" s="69" t="s">
        <v>735</v>
      </c>
      <c r="G18" s="69" t="s">
        <v>736</v>
      </c>
    </row>
    <row r="19" customFormat="false" ht="74.6" hidden="false" customHeight="false" outlineLevel="0" collapsed="false">
      <c r="A19" s="66" t="s">
        <v>103</v>
      </c>
      <c r="B19" s="66" t="s">
        <v>599</v>
      </c>
      <c r="C19" s="67" t="s">
        <v>737</v>
      </c>
      <c r="D19" s="67" t="s">
        <v>738</v>
      </c>
      <c r="E19" s="67" t="s">
        <v>739</v>
      </c>
      <c r="F19" s="67" t="s">
        <v>740</v>
      </c>
      <c r="G19" s="67" t="s">
        <v>741</v>
      </c>
    </row>
    <row r="20" customFormat="false" ht="85.05" hidden="false" customHeight="false" outlineLevel="0" collapsed="false">
      <c r="A20" s="68" t="s">
        <v>63</v>
      </c>
      <c r="B20" s="68" t="s">
        <v>613</v>
      </c>
      <c r="C20" s="69" t="s">
        <v>742</v>
      </c>
      <c r="D20" s="69" t="s">
        <v>318</v>
      </c>
      <c r="E20" s="69" t="s">
        <v>743</v>
      </c>
      <c r="F20" s="69" t="s">
        <v>744</v>
      </c>
      <c r="G20" s="69" t="s">
        <v>745</v>
      </c>
    </row>
    <row r="21" customFormat="false" ht="53.7" hidden="false" customHeight="false" outlineLevel="0" collapsed="false">
      <c r="A21" s="16" t="s">
        <v>126</v>
      </c>
      <c r="B21" s="16" t="s">
        <v>617</v>
      </c>
      <c r="C21" s="17" t="s">
        <v>746</v>
      </c>
      <c r="D21" s="17" t="s">
        <v>747</v>
      </c>
      <c r="E21" s="17" t="s">
        <v>322</v>
      </c>
      <c r="F21" s="17" t="s">
        <v>748</v>
      </c>
      <c r="G21" s="17" t="s">
        <v>749</v>
      </c>
    </row>
    <row r="22" customFormat="false" ht="74.6" hidden="false" customHeight="false" outlineLevel="0" collapsed="false">
      <c r="A22" s="16" t="s">
        <v>136</v>
      </c>
      <c r="B22" s="16" t="s">
        <v>599</v>
      </c>
      <c r="C22" s="17" t="s">
        <v>750</v>
      </c>
      <c r="D22" s="17" t="s">
        <v>751</v>
      </c>
      <c r="E22" s="17" t="s">
        <v>752</v>
      </c>
      <c r="F22" s="17" t="s">
        <v>753</v>
      </c>
      <c r="G22" s="17" t="s">
        <v>754</v>
      </c>
    </row>
    <row r="24" customFormat="false" ht="15" hidden="false" customHeight="false" outlineLevel="0" collapsed="false">
      <c r="A24" s="64" t="s">
        <v>755</v>
      </c>
      <c r="B24" s="64"/>
      <c r="C24" s="64"/>
      <c r="D24" s="64"/>
      <c r="E24" s="64"/>
      <c r="F24" s="64"/>
      <c r="G24" s="64"/>
      <c r="H24" s="64"/>
      <c r="I24" s="64"/>
    </row>
    <row r="26" customFormat="false" ht="22.35" hidden="false" customHeight="false" outlineLevel="0" collapsed="false">
      <c r="A26" s="6" t="s">
        <v>387</v>
      </c>
      <c r="B26" s="6" t="s">
        <v>5</v>
      </c>
      <c r="C26" s="6" t="s">
        <v>6</v>
      </c>
      <c r="D26" s="6" t="s">
        <v>756</v>
      </c>
      <c r="E26" s="6" t="s">
        <v>364</v>
      </c>
      <c r="F26" s="6" t="s">
        <v>757</v>
      </c>
      <c r="G26" s="6" t="s">
        <v>758</v>
      </c>
      <c r="H26" s="6" t="s">
        <v>759</v>
      </c>
    </row>
    <row r="27" customFormat="false" ht="32.8" hidden="false" customHeight="false" outlineLevel="0" collapsed="false">
      <c r="A27" s="22" t="s">
        <v>760</v>
      </c>
      <c r="B27" s="22" t="s">
        <v>311</v>
      </c>
      <c r="C27" s="22" t="s">
        <v>455</v>
      </c>
      <c r="D27" s="23" t="s">
        <v>761</v>
      </c>
      <c r="E27" s="23" t="s">
        <v>762</v>
      </c>
      <c r="F27" s="23" t="s">
        <v>763</v>
      </c>
      <c r="G27" s="23" t="s">
        <v>36</v>
      </c>
      <c r="H27" s="23" t="s">
        <v>764</v>
      </c>
    </row>
    <row r="28" customFormat="false" ht="22.35" hidden="false" customHeight="false" outlineLevel="0" collapsed="false">
      <c r="A28" s="22" t="s">
        <v>760</v>
      </c>
      <c r="B28" s="22" t="s">
        <v>449</v>
      </c>
      <c r="C28" s="22" t="s">
        <v>450</v>
      </c>
      <c r="D28" s="23" t="s">
        <v>765</v>
      </c>
      <c r="E28" s="23" t="s">
        <v>766</v>
      </c>
      <c r="F28" s="23" t="s">
        <v>767</v>
      </c>
      <c r="G28" s="23" t="s">
        <v>36</v>
      </c>
      <c r="H28" s="23" t="s">
        <v>768</v>
      </c>
    </row>
    <row r="29" customFormat="false" ht="32.8" hidden="false" customHeight="false" outlineLevel="0" collapsed="false">
      <c r="A29" s="22" t="s">
        <v>760</v>
      </c>
      <c r="B29" s="22" t="s">
        <v>443</v>
      </c>
      <c r="C29" s="22" t="s">
        <v>769</v>
      </c>
      <c r="D29" s="23" t="s">
        <v>770</v>
      </c>
      <c r="E29" s="23" t="s">
        <v>771</v>
      </c>
      <c r="F29" s="23" t="s">
        <v>772</v>
      </c>
      <c r="G29" s="23" t="s">
        <v>36</v>
      </c>
      <c r="H29" s="23" t="s">
        <v>773</v>
      </c>
    </row>
    <row r="30" customFormat="false" ht="43.25" hidden="false" customHeight="false" outlineLevel="0" collapsed="false">
      <c r="A30" s="22" t="s">
        <v>138</v>
      </c>
      <c r="B30" s="22" t="s">
        <v>774</v>
      </c>
      <c r="C30" s="22" t="s">
        <v>775</v>
      </c>
      <c r="D30" s="23" t="s">
        <v>776</v>
      </c>
      <c r="E30" s="23" t="s">
        <v>777</v>
      </c>
      <c r="F30" s="23" t="s">
        <v>778</v>
      </c>
      <c r="G30" s="23" t="s">
        <v>36</v>
      </c>
      <c r="H30" s="23" t="s">
        <v>779</v>
      </c>
    </row>
    <row r="31" customFormat="false" ht="32.8" hidden="false" customHeight="false" outlineLevel="0" collapsed="false">
      <c r="A31" s="19" t="s">
        <v>780</v>
      </c>
      <c r="B31" s="19" t="s">
        <v>781</v>
      </c>
      <c r="C31" s="19" t="s">
        <v>782</v>
      </c>
      <c r="D31" s="20" t="s">
        <v>783</v>
      </c>
      <c r="E31" s="20" t="s">
        <v>784</v>
      </c>
      <c r="F31" s="20" t="s">
        <v>785</v>
      </c>
      <c r="G31" s="20" t="s">
        <v>786</v>
      </c>
      <c r="H31" s="20" t="s">
        <v>787</v>
      </c>
    </row>
    <row r="32" customFormat="false" ht="43.25" hidden="false" customHeight="false" outlineLevel="0" collapsed="false">
      <c r="A32" s="22" t="s">
        <v>172</v>
      </c>
      <c r="B32" s="22" t="s">
        <v>788</v>
      </c>
      <c r="C32" s="22" t="s">
        <v>789</v>
      </c>
      <c r="D32" s="23" t="s">
        <v>310</v>
      </c>
      <c r="E32" s="23" t="s">
        <v>790</v>
      </c>
      <c r="F32" s="23" t="s">
        <v>785</v>
      </c>
      <c r="G32" s="23" t="s">
        <v>786</v>
      </c>
      <c r="H32" s="23" t="s">
        <v>791</v>
      </c>
    </row>
    <row r="33" customFormat="false" ht="53.7" hidden="false" customHeight="false" outlineLevel="0" collapsed="false">
      <c r="A33" s="25" t="s">
        <v>792</v>
      </c>
      <c r="B33" s="25" t="s">
        <v>793</v>
      </c>
      <c r="C33" s="25" t="s">
        <v>794</v>
      </c>
      <c r="D33" s="26" t="s">
        <v>776</v>
      </c>
      <c r="E33" s="26" t="s">
        <v>795</v>
      </c>
      <c r="F33" s="26" t="s">
        <v>796</v>
      </c>
      <c r="G33" s="26" t="s">
        <v>786</v>
      </c>
      <c r="H33" s="26" t="s">
        <v>797</v>
      </c>
    </row>
    <row r="34" customFormat="false" ht="43.25" hidden="false" customHeight="false" outlineLevel="0" collapsed="false">
      <c r="A34" s="22" t="s">
        <v>798</v>
      </c>
      <c r="B34" s="22" t="s">
        <v>799</v>
      </c>
      <c r="C34" s="22" t="s">
        <v>800</v>
      </c>
      <c r="D34" s="23" t="s">
        <v>801</v>
      </c>
      <c r="E34" s="23" t="s">
        <v>802</v>
      </c>
      <c r="F34" s="23" t="s">
        <v>803</v>
      </c>
      <c r="G34" s="23" t="s">
        <v>36</v>
      </c>
      <c r="H34" s="23" t="s">
        <v>787</v>
      </c>
    </row>
    <row r="36" customFormat="false" ht="15" hidden="false" customHeight="false" outlineLevel="0" collapsed="false">
      <c r="A36" s="64" t="s">
        <v>804</v>
      </c>
      <c r="B36" s="64"/>
      <c r="C36" s="64"/>
      <c r="D36" s="64"/>
      <c r="E36" s="64"/>
      <c r="F36" s="64"/>
      <c r="G36" s="64"/>
      <c r="H36" s="64"/>
      <c r="I36" s="64"/>
    </row>
    <row r="38" customFormat="false" ht="15" hidden="false" customHeight="false" outlineLevel="0" collapsed="false">
      <c r="A38" s="6" t="s">
        <v>805</v>
      </c>
      <c r="B38" s="6" t="s">
        <v>806</v>
      </c>
      <c r="C38" s="6" t="s">
        <v>807</v>
      </c>
      <c r="D38" s="6" t="s">
        <v>808</v>
      </c>
      <c r="E38" s="6" t="s">
        <v>809</v>
      </c>
    </row>
    <row r="39" customFormat="false" ht="22.35" hidden="false" customHeight="false" outlineLevel="0" collapsed="false">
      <c r="A39" s="12" t="s">
        <v>241</v>
      </c>
      <c r="B39" s="13" t="s">
        <v>810</v>
      </c>
      <c r="C39" s="65" t="s">
        <v>811</v>
      </c>
      <c r="D39" s="14" t="s">
        <v>812</v>
      </c>
      <c r="E39" s="12" t="s">
        <v>813</v>
      </c>
    </row>
    <row r="40" customFormat="false" ht="22.35" hidden="false" customHeight="false" outlineLevel="0" collapsed="false">
      <c r="A40" s="68" t="s">
        <v>249</v>
      </c>
      <c r="B40" s="69" t="s">
        <v>814</v>
      </c>
      <c r="C40" s="70" t="s">
        <v>815</v>
      </c>
      <c r="D40" s="71" t="s">
        <v>816</v>
      </c>
      <c r="E40" s="68" t="s">
        <v>817</v>
      </c>
    </row>
    <row r="41" customFormat="false" ht="22.35" hidden="false" customHeight="false" outlineLevel="0" collapsed="false">
      <c r="A41" s="7" t="s">
        <v>255</v>
      </c>
      <c r="B41" s="8" t="s">
        <v>818</v>
      </c>
      <c r="C41" s="10" t="s">
        <v>819</v>
      </c>
      <c r="D41" s="11" t="s">
        <v>820</v>
      </c>
      <c r="E41" s="7" t="s">
        <v>821</v>
      </c>
    </row>
    <row r="42" customFormat="false" ht="22.35" hidden="false" customHeight="false" outlineLevel="0" collapsed="false">
      <c r="A42" s="66" t="s">
        <v>262</v>
      </c>
      <c r="B42" s="67" t="s">
        <v>822</v>
      </c>
      <c r="C42" s="73" t="s">
        <v>823</v>
      </c>
      <c r="D42" s="74" t="s">
        <v>824</v>
      </c>
      <c r="E42" s="66" t="s">
        <v>825</v>
      </c>
    </row>
    <row r="43" customFormat="false" ht="22.35" hidden="false" customHeight="false" outlineLevel="0" collapsed="false">
      <c r="A43" s="12" t="s">
        <v>298</v>
      </c>
      <c r="B43" s="13" t="s">
        <v>826</v>
      </c>
      <c r="C43" s="65" t="s">
        <v>827</v>
      </c>
      <c r="D43" s="14" t="s">
        <v>828</v>
      </c>
      <c r="E43" s="12" t="s">
        <v>829</v>
      </c>
    </row>
    <row r="44" customFormat="false" ht="22.35" hidden="false" customHeight="false" outlineLevel="0" collapsed="false">
      <c r="A44" s="12" t="s">
        <v>304</v>
      </c>
      <c r="B44" s="13" t="s">
        <v>830</v>
      </c>
      <c r="C44" s="65" t="s">
        <v>831</v>
      </c>
      <c r="D44" s="14" t="s">
        <v>307</v>
      </c>
      <c r="E44" s="12" t="s">
        <v>832</v>
      </c>
    </row>
    <row r="45" customFormat="false" ht="22.35" hidden="false" customHeight="false" outlineLevel="0" collapsed="false">
      <c r="A45" s="19" t="s">
        <v>833</v>
      </c>
      <c r="B45" s="20" t="s">
        <v>834</v>
      </c>
      <c r="C45" s="75" t="s">
        <v>835</v>
      </c>
      <c r="D45" s="76" t="s">
        <v>836</v>
      </c>
      <c r="E45" s="19" t="s">
        <v>837</v>
      </c>
    </row>
    <row r="46" customFormat="false" ht="22.35" hidden="false" customHeight="false" outlineLevel="0" collapsed="false">
      <c r="A46" s="22" t="s">
        <v>838</v>
      </c>
      <c r="B46" s="23" t="s">
        <v>839</v>
      </c>
      <c r="C46" s="72" t="s">
        <v>840</v>
      </c>
      <c r="D46" s="77" t="s">
        <v>841</v>
      </c>
      <c r="E46" s="22" t="s">
        <v>842</v>
      </c>
    </row>
    <row r="47" customFormat="false" ht="22.35" hidden="false" customHeight="false" outlineLevel="0" collapsed="false">
      <c r="A47" s="16" t="s">
        <v>776</v>
      </c>
      <c r="B47" s="17" t="s">
        <v>843</v>
      </c>
      <c r="C47" s="78" t="s">
        <v>844</v>
      </c>
      <c r="D47" s="79" t="s">
        <v>845</v>
      </c>
      <c r="E47" s="16" t="s">
        <v>846</v>
      </c>
    </row>
    <row r="48" customFormat="false" ht="22.35" hidden="false" customHeight="false" outlineLevel="0" collapsed="false">
      <c r="A48" s="22" t="s">
        <v>847</v>
      </c>
      <c r="B48" s="23" t="s">
        <v>848</v>
      </c>
      <c r="C48" s="72" t="s">
        <v>849</v>
      </c>
      <c r="D48" s="77" t="s">
        <v>850</v>
      </c>
      <c r="E48" s="22" t="s">
        <v>851</v>
      </c>
    </row>
    <row r="49" customFormat="false" ht="22.35" hidden="false" customHeight="false" outlineLevel="0" collapsed="false">
      <c r="A49" s="66" t="s">
        <v>852</v>
      </c>
      <c r="B49" s="67" t="s">
        <v>853</v>
      </c>
      <c r="C49" s="73" t="s">
        <v>854</v>
      </c>
      <c r="D49" s="74" t="s">
        <v>855</v>
      </c>
      <c r="E49" s="66" t="s">
        <v>856</v>
      </c>
    </row>
    <row r="50" customFormat="false" ht="22.35" hidden="false" customHeight="false" outlineLevel="0" collapsed="false">
      <c r="A50" s="28" t="s">
        <v>351</v>
      </c>
      <c r="B50" s="29" t="s">
        <v>857</v>
      </c>
      <c r="C50" s="80" t="s">
        <v>858</v>
      </c>
      <c r="D50" s="81" t="s">
        <v>859</v>
      </c>
      <c r="E50" s="28" t="s">
        <v>860</v>
      </c>
    </row>
    <row r="53" customFormat="false" ht="15" hidden="false" customHeight="false" outlineLevel="0" collapsed="false">
      <c r="A53" s="82" t="s">
        <v>861</v>
      </c>
      <c r="B53" s="82"/>
      <c r="C53" s="82"/>
      <c r="D53" s="82"/>
      <c r="E53" s="82"/>
      <c r="F53" s="82"/>
      <c r="G53" s="82"/>
      <c r="H53" s="82"/>
      <c r="I53" s="82"/>
    </row>
    <row r="54" customFormat="false" ht="15" hidden="false" customHeight="false" outlineLevel="0" collapsed="false">
      <c r="A54" s="83" t="s">
        <v>428</v>
      </c>
      <c r="B54" s="83"/>
      <c r="C54" s="83"/>
      <c r="D54" s="83"/>
      <c r="E54" s="83"/>
      <c r="F54" s="83"/>
      <c r="G54" s="83"/>
      <c r="H54" s="83"/>
      <c r="I54" s="83"/>
    </row>
  </sheetData>
  <mergeCells count="8">
    <mergeCell ref="A1:I1"/>
    <mergeCell ref="A2:I2"/>
    <mergeCell ref="A4:I4"/>
    <mergeCell ref="A14:I14"/>
    <mergeCell ref="A24:I24"/>
    <mergeCell ref="A36:I36"/>
    <mergeCell ref="A53:I53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2026-04-17T08:09:05Z</dcterms:created>
  <dc:creator>openpyxl</dc:creator>
  <dc:description/>
  <dc:language>en-US</dc:language>
  <cp:lastModifiedBy/>
  <dcterms:modified xsi:type="dcterms:W3CDTF">2026-04-17T10:40:19Z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