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ALLOCATION" sheetId="1" state="visible" r:id="rId3"/>
    <sheet name="BEAR CASE" sheetId="2" state="visible" r:id="rId4"/>
    <sheet name="BASE CASE" sheetId="3" state="visible" r:id="rId5"/>
    <sheet name="REALISTIC MOONSHOT" sheetId="4" state="visible" r:id="rId6"/>
    <sheet name="OPTIMISTIC MOONSHOT" sheetId="5" state="visible" r:id="rId7"/>
    <sheet name="EVERYTHING HITS" sheetId="6" state="visible" r:id="rId8"/>
    <sheet name="ABSOLUTE CEILING" sheetId="7" state="visible" r:id="rId9"/>
    <sheet name="SCENARIO COMPARIS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<sst xmlns="http://schemas.openxmlformats.org/spreadsheetml/2006/main" count="627" uniqueCount="259">
  <si>
    <t xml:space="preserve">DNA ENTERTAINMENT — £10,000 FINAL DEPLOYMENT MODEL | 10 Positions + £1,000 Cash Reserve</t>
  </si>
  <si>
    <t xml:space="preserve">⚠️ Speculative analysis. Not financial advice. All investments carry risk including total loss of capital. Consult a qualified financial advisor.</t>
  </si>
  <si>
    <t xml:space="preserve">Tier</t>
  </si>
  <si>
    <t xml:space="preserve">Ticker</t>
  </si>
  <si>
    <t xml:space="preserve">Company</t>
  </si>
  <si>
    <t xml:space="preserve">£ Alloc</t>
  </si>
  <si>
    <t xml:space="preserve">Entry
Price</t>
  </si>
  <si>
    <t xml:space="preserve">Ccy</t>
  </si>
  <si>
    <t xml:space="preserve">Stop
Loss</t>
  </si>
  <si>
    <t xml:space="preserve">Crude Quality</t>
  </si>
  <si>
    <t xml:space="preserve">API°</t>
  </si>
  <si>
    <t xml:space="preserve">Hormuz</t>
  </si>
  <si>
    <t xml:space="preserve">Squeeze
Prob</t>
  </si>
  <si>
    <t xml:space="preserve">Catalyst 1
(Nearest)</t>
  </si>
  <si>
    <t xml:space="preserve">Prob</t>
  </si>
  <si>
    <t xml:space="preserve">Catalyst 2</t>
  </si>
  <si>
    <t xml:space="preserve">Key Risk</t>
  </si>
  <si>
    <t xml:space="preserve">BEAR
Mult</t>
  </si>
  <si>
    <t xml:space="preserve">BASE
Mult</t>
  </si>
  <si>
    <t xml:space="preserve">BULL
Mult</t>
  </si>
  <si>
    <t xml:space="preserve">Action</t>
  </si>
  <si>
    <t xml:space="preserve">A</t>
  </si>
  <si>
    <t xml:space="preserve">AET</t>
  </si>
  <si>
    <t xml:space="preserve">Afentra</t>
  </si>
  <si>
    <t xml:space="preserve">£</t>
  </si>
  <si>
    <t xml:space="preserve">Light-Med Sweet Angola</t>
  </si>
  <si>
    <t xml:space="preserve">28-32°</t>
  </si>
  <si>
    <t xml:space="preserve">V.STRONG</t>
  </si>
  <si>
    <t xml:space="preserve">MED-HIGH</t>
  </si>
  <si>
    <t xml:space="preserve">Rule 2.7 bid May-Jun (Jefferies)</t>
  </si>
  <si>
    <t xml:space="preserve">Etu acquisition Q2 + Infill drilling</t>
  </si>
  <si>
    <t xml:space="preserve">Bid may not materialise</t>
  </si>
  <si>
    <t xml:space="preserve">STRONG BUY</t>
  </si>
  <si>
    <t xml:space="preserve">IMPP</t>
  </si>
  <si>
    <t xml:space="preserve">Imperial Petroleum</t>
  </si>
  <si>
    <t xml:space="preserve">$</t>
  </si>
  <si>
    <t xml:space="preserve">Shipping - Rate Driven</t>
  </si>
  <si>
    <t xml:space="preserve">N/A</t>
  </si>
  <si>
    <t xml:space="preserve">EXTREME</t>
  </si>
  <si>
    <t xml:space="preserve">HIGH</t>
  </si>
  <si>
    <t xml:space="preserve">Q1 earnings at peak rates</t>
  </si>
  <si>
    <t xml:space="preserve">Fleet 26 vessels + buyback</t>
  </si>
  <si>
    <t xml:space="preserve">Dilutive offerings</t>
  </si>
  <si>
    <t xml:space="preserve">GKP</t>
  </si>
  <si>
    <t xml:space="preserve">Gulf Keystone</t>
  </si>
  <si>
    <t xml:space="preserve">Light Sweet CEYHAN</t>
  </si>
  <si>
    <t xml:space="preserve">~35°</t>
  </si>
  <si>
    <t xml:space="preserve">EXTREME BINARY</t>
  </si>
  <si>
    <t xml:space="preserve">RESTART CONFIRMED Mar 27</t>
  </si>
  <si>
    <t xml:space="preserve">Intl pricing + Div Apr 27</t>
  </si>
  <si>
    <t xml:space="preserve">Iran conflict proximity</t>
  </si>
  <si>
    <t xml:space="preserve">HOLD→BUY</t>
  </si>
  <si>
    <t xml:space="preserve">FRO</t>
  </si>
  <si>
    <t xml:space="preserve">Frontline</t>
  </si>
  <si>
    <t xml:space="preserve">Shipping - 81 VLCCs</t>
  </si>
  <si>
    <t xml:space="preserve">Q1 earnings $107k/day VLCC</t>
  </si>
  <si>
    <t xml:space="preserve">Newbuilding deliveries Q2</t>
  </si>
  <si>
    <t xml:space="preserve">Cyclical rate collapse</t>
  </si>
  <si>
    <t xml:space="preserve">BUY</t>
  </si>
  <si>
    <t xml:space="preserve">KOS</t>
  </si>
  <si>
    <t xml:space="preserve">Kosmos Energy</t>
  </si>
  <si>
    <t xml:space="preserve">Premium Light Sweet + LNG</t>
  </si>
  <si>
    <t xml:space="preserve">~37°</t>
  </si>
  <si>
    <t xml:space="preserve">GTA LNG cargoes ramp NOW</t>
  </si>
  <si>
    <t xml:space="preserve">Jubilee optimisation + analyst upgrades</t>
  </si>
  <si>
    <t xml:space="preserve">Debt leverage</t>
  </si>
  <si>
    <t xml:space="preserve">B</t>
  </si>
  <si>
    <t xml:space="preserve">JSE</t>
  </si>
  <si>
    <t xml:space="preserve">Jadestone Energy</t>
  </si>
  <si>
    <t xml:space="preserve">Condensate ASIA PREMIUM</t>
  </si>
  <si>
    <t xml:space="preserve">38-47°</t>
  </si>
  <si>
    <t xml:space="preserve">STRONG</t>
  </si>
  <si>
    <t xml:space="preserve">Vietnam FDP CONFIRMED Mar 18</t>
  </si>
  <si>
    <t xml:space="preserve">PM323 Malaysia drilling Q2</t>
  </si>
  <si>
    <t xml:space="preserve">Hedging caps upside</t>
  </si>
  <si>
    <t xml:space="preserve">ENQ</t>
  </si>
  <si>
    <t xml:space="preserve">EnQuest</t>
  </si>
  <si>
    <t xml:space="preserve">Med Sour + ASIA PREMIUM</t>
  </si>
  <si>
    <t xml:space="preserve">30-40°</t>
  </si>
  <si>
    <t xml:space="preserve">Magnus 6-well infill Q2</t>
  </si>
  <si>
    <t xml:space="preserve">Seligi gas 100mmscf/d + Serica</t>
  </si>
  <si>
    <t xml:space="preserve">UK windfall tax 78%</t>
  </si>
  <si>
    <t xml:space="preserve">RKH</t>
  </si>
  <si>
    <t xml:space="preserve">Rockhopper</t>
  </si>
  <si>
    <t xml:space="preserve">Light Sweet Atlantic</t>
  </si>
  <si>
    <t xml:space="preserve">~32°</t>
  </si>
  <si>
    <t xml:space="preserve">Sea Lion Phase 1 engineering</t>
  </si>
  <si>
    <t xml:space="preserve">Navitas milestones + FPSO</t>
  </si>
  <si>
    <t xml:space="preserve">Argentina geo risk</t>
  </si>
  <si>
    <t xml:space="preserve">HOLD</t>
  </si>
  <si>
    <t xml:space="preserve">C</t>
  </si>
  <si>
    <t xml:space="preserve">PXEN</t>
  </si>
  <si>
    <t xml:space="preserve">Prospex Energy</t>
  </si>
  <si>
    <t xml:space="preserve">EU Gas TTF Premium</t>
  </si>
  <si>
    <t xml:space="preserve">Gas</t>
  </si>
  <si>
    <t xml:space="preserve">El Romeral permits (EIA cleared)</t>
  </si>
  <si>
    <t xml:space="preserve">Polish licences + TTF spike</t>
  </si>
  <si>
    <t xml:space="preserve">Spanish permitting delays</t>
  </si>
  <si>
    <t xml:space="preserve">SPEC BUY</t>
  </si>
  <si>
    <t xml:space="preserve">BOR</t>
  </si>
  <si>
    <t xml:space="preserve">Borders &amp; Southern</t>
  </si>
  <si>
    <t xml:space="preserve">ULTRA-LIGHT CONDENSATE</t>
  </si>
  <si>
    <t xml:space="preserve">46-49°</t>
  </si>
  <si>
    <t xml:space="preserve">Partner discussions (farm-out)</t>
  </si>
  <si>
    <t xml:space="preserve">Licence deadline Dec 2026</t>
  </si>
  <si>
    <t xml:space="preserve">Cash runway / binary</t>
  </si>
  <si>
    <t xml:space="preserve">—</t>
  </si>
  <si>
    <t xml:space="preserve">CASH</t>
  </si>
  <si>
    <t xml:space="preserve">Dry Powder Reserve</t>
  </si>
  <si>
    <t xml:space="preserve">Deploy on confirmed catalysts (bid/partner/strait extension)</t>
  </si>
  <si>
    <t xml:space="preserve">TOTAL DEPLOYED</t>
  </si>
  <si>
    <t xml:space="preserve">CASH DEPLOYMENT RULES:</t>
  </si>
  <si>
    <t xml:space="preserve">→ If AET bid confirmed: Deploy £300 into AET on formal offer announcement (ride the bid premium)</t>
  </si>
  <si>
    <t xml:space="preserve">→ If GKP international pricing confirmed: Deploy £300 into GKP on pricing announcement</t>
  </si>
  <si>
    <t xml:space="preserve">→ If Hormuz extends past April: Deploy £400 into IMPP + FRO (freight rates sustain longer)</t>
  </si>
  <si>
    <t xml:space="preserve">→ If BOR partner announced: Deploy full remaining cash into BOR immediately (binary moonshot)</t>
  </si>
  <si>
    <t xml:space="preserve">DNA ENTERTAINMENT — BEAR CASE</t>
  </si>
  <si>
    <t xml:space="preserve">Ceasefire announced. Oil drops to $60-70. Squeeze conditions evaporate. Stop-losses protect capital.</t>
  </si>
  <si>
    <t xml:space="preserve">£ Invested</t>
  </si>
  <si>
    <t xml:space="preserve">Target
Price</t>
  </si>
  <si>
    <t xml:space="preserve">Shares
(approx)</t>
  </si>
  <si>
    <t xml:space="preserve">£ Return</t>
  </si>
  <si>
    <t xml:space="preserve">Profit £</t>
  </si>
  <si>
    <t xml:space="preserve">Return %</t>
  </si>
  <si>
    <t xml:space="preserve">Crude Quality Edge</t>
  </si>
  <si>
    <t xml:space="preserve">Probability
Assessment</t>
  </si>
  <si>
    <t xml:space="preserve">Notes</t>
  </si>
  <si>
    <t xml:space="preserve">40%</t>
  </si>
  <si>
    <t xml:space="preserve">Stop-loss triggered at 58p. Bid process may still protect.</t>
  </si>
  <si>
    <t xml:space="preserve">30%</t>
  </si>
  <si>
    <t xml:space="preserve">Stop-loss at $2.80. Fleet value provides floor.</t>
  </si>
  <si>
    <t xml:space="preserve">45%</t>
  </si>
  <si>
    <t xml:space="preserve">Stop-loss at 165p. Conflict extends shut-in.</t>
  </si>
  <si>
    <t xml:space="preserve">35%</t>
  </si>
  <si>
    <t xml:space="preserve">Stop-loss at $25. Rates collapse on ceasefire.</t>
  </si>
  <si>
    <t xml:space="preserve">Stop-loss at $1.60. Debt weighs.</t>
  </si>
  <si>
    <t xml:space="preserve">25%</t>
  </si>
  <si>
    <t xml:space="preserve">Stop-loss at 20p. FDP confirmed provides some floor.</t>
  </si>
  <si>
    <t xml:space="preserve">Stop-loss at 9p. UK tax + low oil.</t>
  </si>
  <si>
    <t xml:space="preserve">Stop-loss at 55p. Development delays.</t>
  </si>
  <si>
    <t xml:space="preserve">50%</t>
  </si>
  <si>
    <t xml:space="preserve">Stop-loss at 3p. Permits delayed.</t>
  </si>
  <si>
    <t xml:space="preserve">60%</t>
  </si>
  <si>
    <t xml:space="preserve">Stop-loss at 5p. No partner found.</t>
  </si>
  <si>
    <t xml:space="preserve">Dry Powder</t>
  </si>
  <si>
    <t xml:space="preserve">PORTFOLIO TOTAL</t>
  </si>
  <si>
    <t xml:space="preserve">SCENARIO: BEAR CASE</t>
  </si>
  <si>
    <t xml:space="preserve">Total Invested:</t>
  </si>
  <si>
    <t xml:space="preserve">Portfolio Value:</t>
  </si>
  <si>
    <t xml:space="preserve">Total Profit:</t>
  </si>
  <si>
    <t xml:space="preserve">Return %:</t>
  </si>
  <si>
    <t xml:space="preserve">DNA ENTERTAINMENT — BASE CASE</t>
  </si>
  <si>
    <t xml:space="preserve">Hormuz resolves Q3. Oil settles $75-85. Most company catalysts still fire on fundamentals. ~89% return.</t>
  </si>
  <si>
    <t xml:space="preserve">Bid process completes at modest premium.</t>
  </si>
  <si>
    <t xml:space="preserve">Re-rates towards book. Fleet generating cash.</t>
  </si>
  <si>
    <t xml:space="preserve">International pricing partially achieved.</t>
  </si>
  <si>
    <t xml:space="preserve">Rates normalise but still profitable.</t>
  </si>
  <si>
    <t xml:space="preserve">GTA LNG delivers. Moderate oil price.</t>
  </si>
  <si>
    <t xml:space="preserve">FDP booked. PM323 wells deliver.</t>
  </si>
  <si>
    <t xml:space="preserve">Magnus drilling adds production.</t>
  </si>
  <si>
    <t xml:space="preserve">Development milestones met on schedule.</t>
  </si>
  <si>
    <t xml:space="preserve">Permits progressing. Production from existing wells.</t>
  </si>
  <si>
    <t xml:space="preserve">Farm-out discussions continue. Licence safe.</t>
  </si>
  <si>
    <t xml:space="preserve">SCENARIO: BASE CASE</t>
  </si>
  <si>
    <t xml:space="preserve">DNA ENTERTAINMENT — REALISTIC MOONSHOT</t>
  </si>
  <si>
    <t xml:space="preserve">Oil $110-120 sustained. Most catalysts fire. Moderate re-ratings. ~170% return.</t>
  </si>
  <si>
    <t xml:space="preserve">Bid at 100p in $110 oil environment.</t>
  </si>
  <si>
    <t xml:space="preserve">Fleet at 26 vessels. Q1 earnings explosive.</t>
  </si>
  <si>
    <t xml:space="preserve">Full restart + international pricing $90+.</t>
  </si>
  <si>
    <t xml:space="preserve">VLCC rates sustained $100k+/day.</t>
  </si>
  <si>
    <t xml:space="preserve">GTA + Jubilee at $110 Brent. FCF inflection.</t>
  </si>
  <si>
    <t xml:space="preserve">FDP + PM323 + condensate $10+ premium.</t>
  </si>
  <si>
    <t xml:space="preserve">Magnus + Seligi + Sverdrup-type premium.</t>
  </si>
  <si>
    <t xml:space="preserve">Sea Lion advancing. Oil at $110+.</t>
  </si>
  <si>
    <t xml:space="preserve">20%</t>
  </si>
  <si>
    <t xml:space="preserve">Permits granted. 2 wells producing. TTF €50+.</t>
  </si>
  <si>
    <t xml:space="preserve">15%</t>
  </si>
  <si>
    <t xml:space="preserve">Farm-out interest from Sea Lion de-risking.</t>
  </si>
  <si>
    <t xml:space="preserve">SCENARIO: REALISTIC MOONSHOT</t>
  </si>
  <si>
    <t xml:space="preserve">DNA ENTERTAINMENT — OPTIMISTIC MOONSHOT</t>
  </si>
  <si>
    <t xml:space="preserve">Oil $120-130 sustained. All catalysts fire. Strong re-ratings. ~250% return.</t>
  </si>
  <si>
    <t xml:space="preserve">Competitive bid at 120p. Multiple bidders.</t>
  </si>
  <si>
    <t xml:space="preserve">NAV re-rating begins. Buyback reduces float.</t>
  </si>
  <si>
    <t xml:space="preserve">12%</t>
  </si>
  <si>
    <t xml:space="preserve">International pricing at $120+. Ceyhan premium.</t>
  </si>
  <si>
    <t xml:space="preserve">VLCC $120k/day. Newbuildings online.</t>
  </si>
  <si>
    <t xml:space="preserve">GTA LNG at $25/MMBtu spot. KOS $7+.</t>
  </si>
  <si>
    <t xml:space="preserve">All catalysts + 47° condensate at $15 prem.</t>
  </si>
  <si>
    <t xml:space="preserve">Magnus peak + Serica merger re-rating.</t>
  </si>
  <si>
    <t xml:space="preserve">Sea Lion progress + Falklands premium.</t>
  </si>
  <si>
    <t xml:space="preserve">10%</t>
  </si>
  <si>
    <t xml:space="preserve">Full permits + 5 wells drilling. TTF €55+.</t>
  </si>
  <si>
    <t xml:space="preserve">8%</t>
  </si>
  <si>
    <t xml:space="preserve">Partner identified. Term sheet signed.</t>
  </si>
  <si>
    <t xml:space="preserve">SCENARIO: OPTIMISTIC MOONSHOT</t>
  </si>
  <si>
    <t xml:space="preserve">DNA ENTERTAINMENT — EVERYTHING HITS</t>
  </si>
  <si>
    <t xml:space="preserve">Oil $130+ sustained. Squeezes materialise. Premium crude differentials widen. ~350% return.</t>
  </si>
  <si>
    <t xml:space="preserve">Premium bid 150p. Oil $130+. Takeover war.</t>
  </si>
  <si>
    <t xml:space="preserve">Squeeze towards NAV $11.38. Peak freight.</t>
  </si>
  <si>
    <t xml:space="preserve">6%</t>
  </si>
  <si>
    <t xml:space="preserve">Intl pricing $130 Brent. Ceyhan only Med route.</t>
  </si>
  <si>
    <t xml:space="preserve">VLCC $150k/day sustained. $2+/share divs.</t>
  </si>
  <si>
    <t xml:space="preserve">DCF $6.87 achieved. GTA + Jubilee dual peak.</t>
  </si>
  <si>
    <t xml:space="preserve">Condensate $15+ prem. Vietnam + Malaysia.</t>
  </si>
  <si>
    <t xml:space="preserve">Combined entity re-rates. Peak Sverdrup prem.</t>
  </si>
  <si>
    <t xml:space="preserve">Falklands premium. First oil fast-tracked.</t>
  </si>
  <si>
    <t xml:space="preserve">5%</t>
  </si>
  <si>
    <t xml:space="preserve">5 wells + Selva + Viura + Poland. TTF €60+.</t>
  </si>
  <si>
    <t xml:space="preserve">4%</t>
  </si>
  <si>
    <t xml:space="preserve">Partner announced. Farm-in terms agreed.</t>
  </si>
  <si>
    <t xml:space="preserve">SCENARIO: EVERYTHING HITS</t>
  </si>
  <si>
    <t xml:space="preserve">DNA ENTERTAINMENT — ABSOLUTE CEILING</t>
  </si>
  <si>
    <t xml:space="preserve">Oil $140-150. IMPP squeezes to NAV+. BOR partner. PXEN full permits. Prolonged Hormuz closure. ~450%+ return.</t>
  </si>
  <si>
    <t xml:space="preserve">3%</t>
  </si>
  <si>
    <t xml:space="preserve">Bidding war 180p. Strategic buyer at peak oil.</t>
  </si>
  <si>
    <t xml:space="preserve">Full NAV squeeze $20. Peak cycle earnings.</t>
  </si>
  <si>
    <t xml:space="preserve">GKP at $150 Brent + Ceyhan monopoly premium.</t>
  </si>
  <si>
    <t xml:space="preserve">VLCC $200k/day. Historic freight peak.</t>
  </si>
  <si>
    <t xml:space="preserve">KOS $10+. GTA sells every cargo at peak LNG.</t>
  </si>
  <si>
    <t xml:space="preserve">Asia scrambles. Condensate = $120+ equiv.</t>
  </si>
  <si>
    <t xml:space="preserve">Mega-merger. North Sea premium maxed.</t>
  </si>
  <si>
    <t xml:space="preserve">Falklands = new frontier. 1Bn bbl valued.</t>
  </si>
  <si>
    <t xml:space="preserve">2%</t>
  </si>
  <si>
    <t xml:space="preserve">EU gas crisis 2.0. PXEN = strategic asset.</t>
  </si>
  <si>
    <t xml:space="preserve">Partner + FID. Darwin fully valued.</t>
  </si>
  <si>
    <t xml:space="preserve">SCENARIO: ABSOLUTE CEILING</t>
  </si>
  <si>
    <t xml:space="preserve">DNA ENTERTAINMENT — ALL SCENARIOS SIDE-BY-SIDE</t>
  </si>
  <si>
    <t xml:space="preserve">Scenario</t>
  </si>
  <si>
    <t xml:space="preserve">Oil Price</t>
  </si>
  <si>
    <t xml:space="preserve">Deployed</t>
  </si>
  <si>
    <t xml:space="preserve">Portfolio Value</t>
  </si>
  <si>
    <t xml:space="preserve">Total Profit</t>
  </si>
  <si>
    <t xml:space="preserve">Probability</t>
  </si>
  <si>
    <t xml:space="preserve">Risk Level</t>
  </si>
  <si>
    <t xml:space="preserve">BEAR CASE</t>
  </si>
  <si>
    <t xml:space="preserve">$60-70</t>
  </si>
  <si>
    <t xml:space="preserve">~35-40%</t>
  </si>
  <si>
    <t xml:space="preserve">CAPITAL LOSS</t>
  </si>
  <si>
    <t xml:space="preserve">BASE CASE</t>
  </si>
  <si>
    <t xml:space="preserve">$75-85</t>
  </si>
  <si>
    <t xml:space="preserve">~45-50%</t>
  </si>
  <si>
    <t xml:space="preserve">MODERATE</t>
  </si>
  <si>
    <t xml:space="preserve">REALISTIC MOONSHOT</t>
  </si>
  <si>
    <t xml:space="preserve">$110-120</t>
  </si>
  <si>
    <t xml:space="preserve">~25-30%</t>
  </si>
  <si>
    <t xml:space="preserve">ELEVATED</t>
  </si>
  <si>
    <t xml:space="preserve">OPTIMISTIC MOONSHOT</t>
  </si>
  <si>
    <t xml:space="preserve">$120-130</t>
  </si>
  <si>
    <t xml:space="preserve">~10-15%</t>
  </si>
  <si>
    <t xml:space="preserve">EVERYTHING HITS</t>
  </si>
  <si>
    <t xml:space="preserve">$130+</t>
  </si>
  <si>
    <t xml:space="preserve">~5-8%</t>
  </si>
  <si>
    <t xml:space="preserve">VERY HIGH</t>
  </si>
  <si>
    <t xml:space="preserve">ABSOLUTE CEILING</t>
  </si>
  <si>
    <t xml:space="preserve">$140-150</t>
  </si>
  <si>
    <t xml:space="preserve">~2-5%</t>
  </si>
  <si>
    <t xml:space="preserve">⚠️ DISCLAIMER: Theoretical scenarios only. Not financial advice. Past performance is not indicative of future results.</t>
  </si>
  <si>
    <t xml:space="preserve">KEY INSIGHT: 7 of 10 stocks have CONFIRMED catalysts (AET bid process, GKP restart, JSE Vietnam FDP, IMPP peak rates, FRO peak rates, KOS GTA cargoes, ENQ Magnus drilling)</t>
  </si>
  <si>
    <t xml:space="preserve">EXIT STRATEGY: Systematic profit-taking by late June 2026. Trail stops once conservative targets hit. Ukraine precedent: ~4 months elevated before retracing.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</si>
</sst>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£#,##0"/>
    <numFmt numFmtId="166" formatCode="0%"/>
    <numFmt numFmtId="167" formatCode="0.0\x"/>
    <numFmt numFmtId="168" formatCode="\£#,##0.0000"/>
    <numFmt numFmtId="169" formatCode="#,##0"/>
    <numFmt numFmtId="170" formatCode="\£#,##0;&quot;(£&quot;#,##0\);\-"/>
    <numFmt numFmtId="171" formatCode="0.0%"/>
    <numFmt numFmtId="172" formatCode="\£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DC2626"/>
      <name val="Arial"/>
      <family val="0"/>
      <charset val="1"/>
    </font>
    <font>
      <b val="true"/>
      <sz val="16"/>
      <color rgb="FF1B2A4A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4"/>
      <color rgb="FF16A34A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b val="true"/>
      <sz val="16"/>
      <color rgb="FF16A34A"/>
      <name val="Arial"/>
      <family val="0"/>
      <charset val="1"/>
    </font>
    <font>
      <i val="true"/>
      <sz val="9"/>
      <color rgb="FFDC2626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0"/>
      <color rgb="FF0D948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DCFCE7"/>
        <bgColor rgb="FFD1FAE5"/>
      </patternFill>
    </fill>
    <fill>
      <patternFill patternType="solid">
        <fgColor rgb="FFD1FAE5"/>
        <bgColor rgb="FFDCFCE7"/>
      </patternFill>
    </fill>
    <fill>
      <patternFill patternType="solid">
        <fgColor rgb="FFFEF3C7"/>
        <bgColor rgb="FFFEF9C3"/>
      </patternFill>
    </fill>
    <fill>
      <patternFill patternType="solid">
        <fgColor rgb="FFF3F4F6"/>
        <bgColor rgb="FFE8FFF3"/>
      </patternFill>
    </fill>
    <fill>
      <patternFill patternType="solid">
        <fgColor rgb="FFFEF9C3"/>
        <bgColor rgb="FFFEF3C7"/>
      </patternFill>
    </fill>
    <fill>
      <patternFill patternType="solid">
        <fgColor rgb="FFFEE2E2"/>
        <bgColor rgb="FFFEF3C7"/>
      </patternFill>
    </fill>
    <fill>
      <patternFill patternType="solid">
        <fgColor rgb="FFDBEAFE"/>
        <bgColor rgb="FFF3F4F6"/>
      </patternFill>
    </fill>
    <fill>
      <patternFill patternType="solid">
        <fgColor rgb="FFE8FFF3"/>
        <bgColor rgb="FFDCFCE7"/>
      </patternFill>
    </fill>
    <fill>
      <patternFill patternType="solid">
        <fgColor rgb="FFFECACA"/>
        <bgColor rgb="FFFEE2E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ck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CCCCC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DBEA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FF3"/>
      <rgbColor rgb="FFD1FAE5"/>
      <rgbColor rgb="FFFEF3C7"/>
      <rgbColor rgb="FFF3F4F6"/>
      <rgbColor rgb="FFFEE2E2"/>
      <rgbColor rgb="FFCC99FF"/>
      <rgbColor rgb="FFFECACA"/>
      <rgbColor rgb="FF3366FF"/>
      <rgbColor rgb="FF33CCCC"/>
      <rgbColor rgb="FF99CC00"/>
      <rgbColor rgb="FFFFCC00"/>
      <rgbColor rgb="FFD4A843"/>
      <rgbColor rgb="FFFF6600"/>
      <rgbColor rgb="FF666666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T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5"/>
    <col collapsed="false" customWidth="true" hidden="false" outlineLevel="0" max="5" min="4" style="0" width="9"/>
    <col collapsed="false" customWidth="true" hidden="false" outlineLevel="0" max="6" min="6" style="0" width="4"/>
    <col collapsed="false" customWidth="true" hidden="false" outlineLevel="0" max="7" min="7" style="0" width="8"/>
    <col collapsed="false" customWidth="true" hidden="false" outlineLevel="0" max="8" min="8" style="0" width="18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28"/>
    <col collapsed="false" customWidth="true" hidden="false" outlineLevel="0" max="13" min="13" style="0" width="6"/>
    <col collapsed="false" customWidth="true" hidden="false" outlineLevel="0" max="14" min="14" style="0" width="28"/>
    <col collapsed="false" customWidth="true" hidden="false" outlineLevel="0" max="15" min="15" style="0" width="6"/>
    <col collapsed="false" customWidth="true" hidden="false" outlineLevel="0" max="16" min="16" style="0" width="20"/>
    <col collapsed="false" customWidth="true" hidden="false" outlineLevel="0" max="19" min="17" style="0" width="7"/>
    <col collapsed="false" customWidth="true" hidden="false" outlineLevel="0" max="20" min="20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14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</row>
    <row r="5" customFormat="false" ht="23.85" hidden="false" customHeight="false" outlineLevel="0" collapsed="false">
      <c r="A5" s="4" t="s">
        <v>21</v>
      </c>
      <c r="B5" s="4" t="s">
        <v>22</v>
      </c>
      <c r="C5" s="5" t="s">
        <v>23</v>
      </c>
      <c r="D5" s="6" t="n">
        <v>1500</v>
      </c>
      <c r="E5" s="5" t="n">
        <v>0.72</v>
      </c>
      <c r="F5" s="5" t="s">
        <v>24</v>
      </c>
      <c r="G5" s="5" t="n">
        <v>0.58</v>
      </c>
      <c r="H5" s="5" t="s">
        <v>25</v>
      </c>
      <c r="I5" s="5" t="s">
        <v>26</v>
      </c>
      <c r="J5" s="5" t="s">
        <v>27</v>
      </c>
      <c r="K5" s="4" t="s">
        <v>28</v>
      </c>
      <c r="L5" s="5" t="s">
        <v>29</v>
      </c>
      <c r="M5" s="7" t="n">
        <v>0.65</v>
      </c>
      <c r="N5" s="5" t="s">
        <v>30</v>
      </c>
      <c r="O5" s="7" t="n">
        <v>0.8</v>
      </c>
      <c r="P5" s="8" t="s">
        <v>31</v>
      </c>
      <c r="Q5" s="9" t="n">
        <v>1.3</v>
      </c>
      <c r="R5" s="9" t="n">
        <v>2</v>
      </c>
      <c r="S5" s="9" t="n">
        <v>3</v>
      </c>
      <c r="T5" s="4" t="s">
        <v>32</v>
      </c>
    </row>
    <row r="6" customFormat="false" ht="23.85" hidden="false" customHeight="false" outlineLevel="0" collapsed="false">
      <c r="A6" s="4" t="s">
        <v>21</v>
      </c>
      <c r="B6" s="4" t="s">
        <v>33</v>
      </c>
      <c r="C6" s="5" t="s">
        <v>34</v>
      </c>
      <c r="D6" s="6" t="n">
        <v>1500</v>
      </c>
      <c r="E6" s="5" t="n">
        <v>4.1</v>
      </c>
      <c r="F6" s="5" t="s">
        <v>35</v>
      </c>
      <c r="G6" s="5" t="n">
        <v>2.8</v>
      </c>
      <c r="H6" s="5" t="s">
        <v>36</v>
      </c>
      <c r="I6" s="5" t="s">
        <v>37</v>
      </c>
      <c r="J6" s="5" t="s">
        <v>38</v>
      </c>
      <c r="K6" s="4" t="s">
        <v>39</v>
      </c>
      <c r="L6" s="5" t="s">
        <v>40</v>
      </c>
      <c r="M6" s="7" t="n">
        <v>0.9</v>
      </c>
      <c r="N6" s="5" t="s">
        <v>41</v>
      </c>
      <c r="O6" s="7" t="n">
        <v>0.85</v>
      </c>
      <c r="P6" s="8" t="s">
        <v>42</v>
      </c>
      <c r="Q6" s="9" t="n">
        <v>1.5</v>
      </c>
      <c r="R6" s="9" t="n">
        <v>2.5</v>
      </c>
      <c r="S6" s="9" t="n">
        <v>4</v>
      </c>
      <c r="T6" s="4" t="s">
        <v>32</v>
      </c>
    </row>
    <row r="7" customFormat="false" ht="23.85" hidden="false" customHeight="false" outlineLevel="0" collapsed="false">
      <c r="A7" s="4" t="s">
        <v>21</v>
      </c>
      <c r="B7" s="4" t="s">
        <v>43</v>
      </c>
      <c r="C7" s="5" t="s">
        <v>44</v>
      </c>
      <c r="D7" s="6" t="n">
        <v>1000</v>
      </c>
      <c r="E7" s="5" t="n">
        <v>2.04</v>
      </c>
      <c r="F7" s="5" t="s">
        <v>24</v>
      </c>
      <c r="G7" s="5" t="n">
        <v>1.65</v>
      </c>
      <c r="H7" s="5" t="s">
        <v>45</v>
      </c>
      <c r="I7" s="5" t="s">
        <v>46</v>
      </c>
      <c r="J7" s="5" t="s">
        <v>47</v>
      </c>
      <c r="K7" s="4" t="s">
        <v>28</v>
      </c>
      <c r="L7" s="5" t="s">
        <v>48</v>
      </c>
      <c r="M7" s="7" t="n">
        <v>0.95</v>
      </c>
      <c r="N7" s="5" t="s">
        <v>49</v>
      </c>
      <c r="O7" s="7" t="n">
        <v>0.6</v>
      </c>
      <c r="P7" s="8" t="s">
        <v>50</v>
      </c>
      <c r="Q7" s="9" t="n">
        <v>0.5</v>
      </c>
      <c r="R7" s="9" t="n">
        <v>1.8</v>
      </c>
      <c r="S7" s="9" t="n">
        <v>3.5</v>
      </c>
      <c r="T7" s="4" t="s">
        <v>51</v>
      </c>
    </row>
    <row r="8" customFormat="false" ht="15" hidden="false" customHeight="false" outlineLevel="0" collapsed="false">
      <c r="A8" s="4" t="s">
        <v>21</v>
      </c>
      <c r="B8" s="4" t="s">
        <v>52</v>
      </c>
      <c r="C8" s="5" t="s">
        <v>53</v>
      </c>
      <c r="D8" s="6" t="n">
        <v>500</v>
      </c>
      <c r="E8" s="5" t="n">
        <v>33.78</v>
      </c>
      <c r="F8" s="5" t="s">
        <v>35</v>
      </c>
      <c r="G8" s="5" t="n">
        <v>25</v>
      </c>
      <c r="H8" s="5" t="s">
        <v>54</v>
      </c>
      <c r="I8" s="5" t="s">
        <v>37</v>
      </c>
      <c r="J8" s="5" t="s">
        <v>38</v>
      </c>
      <c r="K8" s="4" t="s">
        <v>28</v>
      </c>
      <c r="L8" s="5" t="s">
        <v>55</v>
      </c>
      <c r="M8" s="7" t="n">
        <v>0.9</v>
      </c>
      <c r="N8" s="5" t="s">
        <v>56</v>
      </c>
      <c r="O8" s="7" t="n">
        <v>0.8</v>
      </c>
      <c r="P8" s="8" t="s">
        <v>57</v>
      </c>
      <c r="Q8" s="9" t="n">
        <v>0.8</v>
      </c>
      <c r="R8" s="9" t="n">
        <v>1.5</v>
      </c>
      <c r="S8" s="9" t="n">
        <v>2.5</v>
      </c>
      <c r="T8" s="4" t="s">
        <v>58</v>
      </c>
    </row>
    <row r="9" customFormat="false" ht="23.85" hidden="false" customHeight="false" outlineLevel="0" collapsed="false">
      <c r="A9" s="4" t="s">
        <v>21</v>
      </c>
      <c r="B9" s="4" t="s">
        <v>59</v>
      </c>
      <c r="C9" s="5" t="s">
        <v>60</v>
      </c>
      <c r="D9" s="6" t="n">
        <v>1000</v>
      </c>
      <c r="E9" s="5" t="n">
        <v>2.4</v>
      </c>
      <c r="F9" s="5" t="s">
        <v>35</v>
      </c>
      <c r="G9" s="5" t="n">
        <v>1.6</v>
      </c>
      <c r="H9" s="5" t="s">
        <v>61</v>
      </c>
      <c r="I9" s="5" t="s">
        <v>62</v>
      </c>
      <c r="J9" s="5" t="s">
        <v>27</v>
      </c>
      <c r="K9" s="4" t="s">
        <v>28</v>
      </c>
      <c r="L9" s="5" t="s">
        <v>63</v>
      </c>
      <c r="M9" s="7" t="n">
        <v>0.85</v>
      </c>
      <c r="N9" s="5" t="s">
        <v>64</v>
      </c>
      <c r="O9" s="7" t="n">
        <v>0.7</v>
      </c>
      <c r="P9" s="8" t="s">
        <v>65</v>
      </c>
      <c r="Q9" s="9" t="n">
        <v>1.3</v>
      </c>
      <c r="R9" s="9" t="n">
        <v>2.5</v>
      </c>
      <c r="S9" s="9" t="n">
        <v>3.5</v>
      </c>
      <c r="T9" s="4" t="s">
        <v>58</v>
      </c>
    </row>
    <row r="10" customFormat="false" ht="23.85" hidden="false" customHeight="false" outlineLevel="0" collapsed="false">
      <c r="A10" s="10" t="s">
        <v>66</v>
      </c>
      <c r="B10" s="10" t="s">
        <v>67</v>
      </c>
      <c r="C10" s="11" t="s">
        <v>68</v>
      </c>
      <c r="D10" s="12" t="n">
        <v>1000</v>
      </c>
      <c r="E10" s="11" t="n">
        <v>0.28</v>
      </c>
      <c r="F10" s="11" t="s">
        <v>24</v>
      </c>
      <c r="G10" s="11" t="n">
        <v>0.2</v>
      </c>
      <c r="H10" s="11" t="s">
        <v>69</v>
      </c>
      <c r="I10" s="11" t="s">
        <v>70</v>
      </c>
      <c r="J10" s="11" t="s">
        <v>71</v>
      </c>
      <c r="K10" s="10" t="s">
        <v>28</v>
      </c>
      <c r="L10" s="11" t="s">
        <v>72</v>
      </c>
      <c r="M10" s="13" t="n">
        <v>1</v>
      </c>
      <c r="N10" s="11" t="s">
        <v>73</v>
      </c>
      <c r="O10" s="13" t="n">
        <v>0.7</v>
      </c>
      <c r="P10" s="14" t="s">
        <v>74</v>
      </c>
      <c r="Q10" s="15" t="n">
        <v>1</v>
      </c>
      <c r="R10" s="15" t="n">
        <v>1.7</v>
      </c>
      <c r="S10" s="15" t="n">
        <v>2.5</v>
      </c>
      <c r="T10" s="10" t="s">
        <v>32</v>
      </c>
    </row>
    <row r="11" customFormat="false" ht="23.85" hidden="false" customHeight="false" outlineLevel="0" collapsed="false">
      <c r="A11" s="10" t="s">
        <v>66</v>
      </c>
      <c r="B11" s="10" t="s">
        <v>75</v>
      </c>
      <c r="C11" s="11" t="s">
        <v>76</v>
      </c>
      <c r="D11" s="12" t="n">
        <v>500</v>
      </c>
      <c r="E11" s="11" t="n">
        <v>0.13</v>
      </c>
      <c r="F11" s="11" t="s">
        <v>24</v>
      </c>
      <c r="G11" s="11" t="n">
        <v>0.09</v>
      </c>
      <c r="H11" s="11" t="s">
        <v>77</v>
      </c>
      <c r="I11" s="11" t="s">
        <v>78</v>
      </c>
      <c r="J11" s="11" t="s">
        <v>71</v>
      </c>
      <c r="K11" s="10" t="s">
        <v>28</v>
      </c>
      <c r="L11" s="11" t="s">
        <v>79</v>
      </c>
      <c r="M11" s="13" t="n">
        <v>0.85</v>
      </c>
      <c r="N11" s="11" t="s">
        <v>80</v>
      </c>
      <c r="O11" s="13" t="n">
        <v>0.6</v>
      </c>
      <c r="P11" s="14" t="s">
        <v>81</v>
      </c>
      <c r="Q11" s="15" t="n">
        <v>1</v>
      </c>
      <c r="R11" s="15" t="n">
        <v>1.8</v>
      </c>
      <c r="S11" s="15" t="n">
        <v>2.5</v>
      </c>
      <c r="T11" s="10" t="s">
        <v>58</v>
      </c>
    </row>
    <row r="12" customFormat="false" ht="15" hidden="false" customHeight="false" outlineLevel="0" collapsed="false">
      <c r="A12" s="10" t="s">
        <v>66</v>
      </c>
      <c r="B12" s="10" t="s">
        <v>82</v>
      </c>
      <c r="C12" s="11" t="s">
        <v>83</v>
      </c>
      <c r="D12" s="12" t="n">
        <v>500</v>
      </c>
      <c r="E12" s="11" t="n">
        <v>0.75</v>
      </c>
      <c r="F12" s="11" t="s">
        <v>24</v>
      </c>
      <c r="G12" s="11" t="n">
        <v>0.55</v>
      </c>
      <c r="H12" s="11" t="s">
        <v>84</v>
      </c>
      <c r="I12" s="11" t="s">
        <v>85</v>
      </c>
      <c r="J12" s="11" t="s">
        <v>27</v>
      </c>
      <c r="K12" s="10" t="s">
        <v>28</v>
      </c>
      <c r="L12" s="11" t="s">
        <v>86</v>
      </c>
      <c r="M12" s="13" t="n">
        <v>0.85</v>
      </c>
      <c r="N12" s="11" t="s">
        <v>87</v>
      </c>
      <c r="O12" s="13" t="n">
        <v>0.7</v>
      </c>
      <c r="P12" s="14" t="s">
        <v>88</v>
      </c>
      <c r="Q12" s="15" t="n">
        <v>1</v>
      </c>
      <c r="R12" s="15" t="n">
        <v>1.5</v>
      </c>
      <c r="S12" s="15" t="n">
        <v>2.5</v>
      </c>
      <c r="T12" s="10" t="s">
        <v>89</v>
      </c>
    </row>
    <row r="13" customFormat="false" ht="23.85" hidden="false" customHeight="false" outlineLevel="0" collapsed="false">
      <c r="A13" s="16" t="s">
        <v>90</v>
      </c>
      <c r="B13" s="16" t="s">
        <v>91</v>
      </c>
      <c r="C13" s="17" t="s">
        <v>92</v>
      </c>
      <c r="D13" s="18" t="n">
        <v>750</v>
      </c>
      <c r="E13" s="17" t="n">
        <v>0.0485</v>
      </c>
      <c r="F13" s="17" t="s">
        <v>24</v>
      </c>
      <c r="G13" s="17" t="n">
        <v>0.03</v>
      </c>
      <c r="H13" s="17" t="s">
        <v>93</v>
      </c>
      <c r="I13" s="17" t="s">
        <v>94</v>
      </c>
      <c r="J13" s="17" t="s">
        <v>27</v>
      </c>
      <c r="K13" s="16" t="s">
        <v>28</v>
      </c>
      <c r="L13" s="17" t="s">
        <v>95</v>
      </c>
      <c r="M13" s="19" t="n">
        <v>0.58</v>
      </c>
      <c r="N13" s="17" t="s">
        <v>96</v>
      </c>
      <c r="O13" s="19" t="n">
        <v>0.5</v>
      </c>
      <c r="P13" s="20" t="s">
        <v>97</v>
      </c>
      <c r="Q13" s="21" t="n">
        <v>1.2</v>
      </c>
      <c r="R13" s="21" t="n">
        <v>2.5</v>
      </c>
      <c r="S13" s="21" t="n">
        <v>5</v>
      </c>
      <c r="T13" s="16" t="s">
        <v>98</v>
      </c>
    </row>
    <row r="14" customFormat="false" ht="23.85" hidden="false" customHeight="false" outlineLevel="0" collapsed="false">
      <c r="A14" s="16" t="s">
        <v>90</v>
      </c>
      <c r="B14" s="16" t="s">
        <v>99</v>
      </c>
      <c r="C14" s="17" t="s">
        <v>100</v>
      </c>
      <c r="D14" s="18" t="n">
        <v>750</v>
      </c>
      <c r="E14" s="17" t="n">
        <v>0.1</v>
      </c>
      <c r="F14" s="17" t="s">
        <v>24</v>
      </c>
      <c r="G14" s="17" t="n">
        <v>0.05</v>
      </c>
      <c r="H14" s="17" t="s">
        <v>101</v>
      </c>
      <c r="I14" s="17" t="s">
        <v>102</v>
      </c>
      <c r="J14" s="17" t="s">
        <v>27</v>
      </c>
      <c r="K14" s="16" t="s">
        <v>28</v>
      </c>
      <c r="L14" s="17" t="s">
        <v>103</v>
      </c>
      <c r="M14" s="19" t="n">
        <v>0.35</v>
      </c>
      <c r="N14" s="17" t="s">
        <v>104</v>
      </c>
      <c r="O14" s="19" t="n">
        <v>0.7</v>
      </c>
      <c r="P14" s="20" t="s">
        <v>105</v>
      </c>
      <c r="Q14" s="21" t="n">
        <v>0.7</v>
      </c>
      <c r="R14" s="21" t="n">
        <v>2</v>
      </c>
      <c r="S14" s="21" t="n">
        <v>8</v>
      </c>
      <c r="T14" s="16" t="s">
        <v>98</v>
      </c>
    </row>
    <row r="15" customFormat="false" ht="46.25" hidden="false" customHeight="false" outlineLevel="0" collapsed="false">
      <c r="A15" s="22" t="s">
        <v>106</v>
      </c>
      <c r="B15" s="23" t="s">
        <v>107</v>
      </c>
      <c r="C15" s="24" t="s">
        <v>108</v>
      </c>
      <c r="D15" s="25" t="n">
        <v>1000</v>
      </c>
      <c r="E15" s="24" t="s">
        <v>106</v>
      </c>
      <c r="F15" s="24"/>
      <c r="G15" s="24"/>
      <c r="H15" s="24" t="s">
        <v>109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</row>
    <row r="16" customFormat="false" ht="35.05" hidden="false" customHeight="false" outlineLevel="0" collapsed="false">
      <c r="B16" s="26" t="s">
        <v>110</v>
      </c>
      <c r="D16" s="27" t="n">
        <f aca="false">SUM(D5:D15)</f>
        <v>10000</v>
      </c>
    </row>
    <row r="18" customFormat="false" ht="15" hidden="false" customHeight="true" outlineLevel="0" collapsed="false">
      <c r="A18" s="28" t="s">
        <v>111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customFormat="false" ht="15" hidden="false" customHeight="true" outlineLevel="0" collapsed="false">
      <c r="A19" s="29" t="s">
        <v>112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customFormat="false" ht="15" hidden="false" customHeight="true" outlineLevel="0" collapsed="false">
      <c r="A20" s="29" t="s">
        <v>113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customFormat="false" ht="15" hidden="false" customHeight="true" outlineLevel="0" collapsed="false">
      <c r="A21" s="29" t="s">
        <v>114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</row>
    <row r="22" customFormat="false" ht="15" hidden="false" customHeight="true" outlineLevel="0" collapsed="false">
      <c r="A22" s="29" t="s">
        <v>115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</row>
  </sheetData>
  <mergeCells count="7">
    <mergeCell ref="A1:T1"/>
    <mergeCell ref="A2:T2"/>
    <mergeCell ref="A18:T18"/>
    <mergeCell ref="A19:T19"/>
    <mergeCell ref="A20:T20"/>
    <mergeCell ref="A21:T21"/>
    <mergeCell ref="A22:T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E2E2"/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6" min="3" style="0" width="10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25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3</v>
      </c>
      <c r="B4" s="3" t="s">
        <v>4</v>
      </c>
      <c r="C4" s="3" t="s">
        <v>118</v>
      </c>
      <c r="D4" s="3" t="s">
        <v>6</v>
      </c>
      <c r="E4" s="3" t="s">
        <v>119</v>
      </c>
      <c r="F4" s="3" t="s">
        <v>120</v>
      </c>
      <c r="G4" s="3" t="s">
        <v>121</v>
      </c>
      <c r="H4" s="3" t="s">
        <v>122</v>
      </c>
      <c r="I4" s="3" t="s">
        <v>123</v>
      </c>
      <c r="J4" s="3" t="s">
        <v>124</v>
      </c>
      <c r="K4" s="3" t="s">
        <v>125</v>
      </c>
      <c r="L4" s="3" t="s">
        <v>126</v>
      </c>
    </row>
    <row r="5" customFormat="false" ht="22.35" hidden="false" customHeight="false" outlineLevel="0" collapsed="false">
      <c r="A5" s="26" t="s">
        <v>22</v>
      </c>
      <c r="B5" s="30" t="s">
        <v>23</v>
      </c>
      <c r="C5" s="31" t="n">
        <v>1500</v>
      </c>
      <c r="D5" s="32" t="n">
        <v>0.72</v>
      </c>
      <c r="E5" s="33" t="n">
        <v>0.58</v>
      </c>
      <c r="F5" s="34" t="n">
        <f aca="false">C5/D5</f>
        <v>2083.33333333333</v>
      </c>
      <c r="G5" s="35" t="n">
        <f aca="false">F5*E5</f>
        <v>1208.33333333333</v>
      </c>
      <c r="H5" s="36" t="n">
        <f aca="false">G5-C5</f>
        <v>-291.666666666667</v>
      </c>
      <c r="I5" s="37" t="n">
        <f aca="false">H5/C5</f>
        <v>-0.194444444444445</v>
      </c>
      <c r="J5" s="38" t="s">
        <v>25</v>
      </c>
      <c r="K5" s="39" t="s">
        <v>127</v>
      </c>
      <c r="L5" s="38" t="s">
        <v>128</v>
      </c>
    </row>
    <row r="6" customFormat="false" ht="23.85" hidden="false" customHeight="false" outlineLevel="0" collapsed="false">
      <c r="A6" s="26" t="s">
        <v>33</v>
      </c>
      <c r="B6" s="30" t="s">
        <v>34</v>
      </c>
      <c r="C6" s="31" t="n">
        <v>1500</v>
      </c>
      <c r="D6" s="40" t="n">
        <v>4.1</v>
      </c>
      <c r="E6" s="41" t="n">
        <v>2.8</v>
      </c>
      <c r="F6" s="34" t="n">
        <f aca="false">C6/D6</f>
        <v>365.853658536585</v>
      </c>
      <c r="G6" s="35" t="n">
        <f aca="false">F6*E6</f>
        <v>1024.39024390244</v>
      </c>
      <c r="H6" s="36" t="n">
        <f aca="false">G6-C6</f>
        <v>-475.609756097561</v>
      </c>
      <c r="I6" s="37" t="n">
        <f aca="false">H6/C6</f>
        <v>-0.317073170731707</v>
      </c>
      <c r="J6" s="38" t="s">
        <v>36</v>
      </c>
      <c r="K6" s="39" t="s">
        <v>129</v>
      </c>
      <c r="L6" s="38" t="s">
        <v>130</v>
      </c>
    </row>
    <row r="7" customFormat="false" ht="22.35" hidden="false" customHeight="false" outlineLevel="0" collapsed="false">
      <c r="A7" s="26" t="s">
        <v>43</v>
      </c>
      <c r="B7" s="30" t="s">
        <v>44</v>
      </c>
      <c r="C7" s="31" t="n">
        <v>1000</v>
      </c>
      <c r="D7" s="40" t="n">
        <v>2.04</v>
      </c>
      <c r="E7" s="41" t="n">
        <v>1.65</v>
      </c>
      <c r="F7" s="34" t="n">
        <f aca="false">C7/D7</f>
        <v>490.196078431373</v>
      </c>
      <c r="G7" s="35" t="n">
        <f aca="false">F7*E7</f>
        <v>808.823529411765</v>
      </c>
      <c r="H7" s="36" t="n">
        <f aca="false">G7-C7</f>
        <v>-191.176470588235</v>
      </c>
      <c r="I7" s="37" t="n">
        <f aca="false">H7/C7</f>
        <v>-0.191176470588235</v>
      </c>
      <c r="J7" s="38" t="s">
        <v>45</v>
      </c>
      <c r="K7" s="39" t="s">
        <v>131</v>
      </c>
      <c r="L7" s="38" t="s">
        <v>132</v>
      </c>
    </row>
    <row r="8" customFormat="false" ht="22.35" hidden="false" customHeight="false" outlineLevel="0" collapsed="false">
      <c r="A8" s="26" t="s">
        <v>52</v>
      </c>
      <c r="B8" s="30" t="s">
        <v>53</v>
      </c>
      <c r="C8" s="31" t="n">
        <v>500</v>
      </c>
      <c r="D8" s="40" t="n">
        <v>33.78</v>
      </c>
      <c r="E8" s="41" t="n">
        <v>25</v>
      </c>
      <c r="F8" s="34" t="n">
        <f aca="false">C8/D8</f>
        <v>14.801657785672</v>
      </c>
      <c r="G8" s="35" t="n">
        <f aca="false">F8*E8</f>
        <v>370.0414446418</v>
      </c>
      <c r="H8" s="36" t="n">
        <f aca="false">G8-C8</f>
        <v>-129.9585553582</v>
      </c>
      <c r="I8" s="37" t="n">
        <f aca="false">H8/C8</f>
        <v>-0.2599171107164</v>
      </c>
      <c r="J8" s="38" t="s">
        <v>54</v>
      </c>
      <c r="K8" s="39" t="s">
        <v>133</v>
      </c>
      <c r="L8" s="38" t="s">
        <v>134</v>
      </c>
    </row>
    <row r="9" customFormat="false" ht="15" hidden="false" customHeight="false" outlineLevel="0" collapsed="false">
      <c r="A9" s="26" t="s">
        <v>59</v>
      </c>
      <c r="B9" s="30" t="s">
        <v>60</v>
      </c>
      <c r="C9" s="31" t="n">
        <v>1000</v>
      </c>
      <c r="D9" s="40" t="n">
        <v>2.4</v>
      </c>
      <c r="E9" s="41" t="n">
        <v>1.6</v>
      </c>
      <c r="F9" s="34" t="n">
        <f aca="false">C9/D9</f>
        <v>416.666666666667</v>
      </c>
      <c r="G9" s="35" t="n">
        <f aca="false">F9*E9</f>
        <v>666.666666666667</v>
      </c>
      <c r="H9" s="36" t="n">
        <f aca="false">G9-C9</f>
        <v>-333.333333333333</v>
      </c>
      <c r="I9" s="37" t="n">
        <f aca="false">H9/C9</f>
        <v>-0.333333333333333</v>
      </c>
      <c r="J9" s="38" t="s">
        <v>61</v>
      </c>
      <c r="K9" s="39" t="s">
        <v>133</v>
      </c>
      <c r="L9" s="38" t="s">
        <v>135</v>
      </c>
    </row>
    <row r="10" customFormat="false" ht="23.85" hidden="false" customHeight="false" outlineLevel="0" collapsed="false">
      <c r="A10" s="26" t="s">
        <v>67</v>
      </c>
      <c r="B10" s="30" t="s">
        <v>68</v>
      </c>
      <c r="C10" s="31" t="n">
        <v>1000</v>
      </c>
      <c r="D10" s="32" t="n">
        <v>0.28</v>
      </c>
      <c r="E10" s="33" t="n">
        <v>0.2</v>
      </c>
      <c r="F10" s="34" t="n">
        <f aca="false">C10/D10</f>
        <v>3571.42857142857</v>
      </c>
      <c r="G10" s="35" t="n">
        <f aca="false">F10*E10</f>
        <v>714.285714285714</v>
      </c>
      <c r="H10" s="36" t="n">
        <f aca="false">G10-C10</f>
        <v>-285.714285714286</v>
      </c>
      <c r="I10" s="37" t="n">
        <f aca="false">H10/C10</f>
        <v>-0.285714285714286</v>
      </c>
      <c r="J10" s="38" t="s">
        <v>69</v>
      </c>
      <c r="K10" s="39" t="s">
        <v>136</v>
      </c>
      <c r="L10" s="38" t="s">
        <v>137</v>
      </c>
    </row>
    <row r="11" customFormat="false" ht="15" hidden="false" customHeight="false" outlineLevel="0" collapsed="false">
      <c r="A11" s="26" t="s">
        <v>75</v>
      </c>
      <c r="B11" s="30" t="s">
        <v>76</v>
      </c>
      <c r="C11" s="31" t="n">
        <v>500</v>
      </c>
      <c r="D11" s="32" t="n">
        <v>0.13</v>
      </c>
      <c r="E11" s="33" t="n">
        <v>0.09</v>
      </c>
      <c r="F11" s="34" t="n">
        <f aca="false">C11/D11</f>
        <v>3846.15384615385</v>
      </c>
      <c r="G11" s="35" t="n">
        <f aca="false">F11*E11</f>
        <v>346.153846153846</v>
      </c>
      <c r="H11" s="36" t="n">
        <f aca="false">G11-C11</f>
        <v>-153.846153846154</v>
      </c>
      <c r="I11" s="37" t="n">
        <f aca="false">H11/C11</f>
        <v>-0.307692307692308</v>
      </c>
      <c r="J11" s="38" t="s">
        <v>77</v>
      </c>
      <c r="K11" s="39" t="s">
        <v>127</v>
      </c>
      <c r="L11" s="38" t="s">
        <v>138</v>
      </c>
    </row>
    <row r="12" customFormat="false" ht="15" hidden="false" customHeight="false" outlineLevel="0" collapsed="false">
      <c r="A12" s="26" t="s">
        <v>82</v>
      </c>
      <c r="B12" s="30" t="s">
        <v>83</v>
      </c>
      <c r="C12" s="31" t="n">
        <v>500</v>
      </c>
      <c r="D12" s="32" t="n">
        <v>0.75</v>
      </c>
      <c r="E12" s="33" t="n">
        <v>0.55</v>
      </c>
      <c r="F12" s="34" t="n">
        <f aca="false">C12/D12</f>
        <v>666.666666666667</v>
      </c>
      <c r="G12" s="35" t="n">
        <f aca="false">F12*E12</f>
        <v>366.666666666667</v>
      </c>
      <c r="H12" s="36" t="n">
        <f aca="false">G12-C12</f>
        <v>-133.333333333333</v>
      </c>
      <c r="I12" s="37" t="n">
        <f aca="false">H12/C12</f>
        <v>-0.266666666666667</v>
      </c>
      <c r="J12" s="38" t="s">
        <v>84</v>
      </c>
      <c r="K12" s="39" t="s">
        <v>129</v>
      </c>
      <c r="L12" s="38" t="s">
        <v>139</v>
      </c>
    </row>
    <row r="13" customFormat="false" ht="15" hidden="false" customHeight="false" outlineLevel="0" collapsed="false">
      <c r="A13" s="26" t="s">
        <v>91</v>
      </c>
      <c r="B13" s="30" t="s">
        <v>92</v>
      </c>
      <c r="C13" s="31" t="n">
        <v>750</v>
      </c>
      <c r="D13" s="32" t="n">
        <v>0.0485</v>
      </c>
      <c r="E13" s="33" t="n">
        <v>0.03</v>
      </c>
      <c r="F13" s="34" t="n">
        <f aca="false">C13/D13</f>
        <v>15463.9175257732</v>
      </c>
      <c r="G13" s="35" t="n">
        <f aca="false">F13*E13</f>
        <v>463.917525773196</v>
      </c>
      <c r="H13" s="36" t="n">
        <f aca="false">G13-C13</f>
        <v>-286.082474226804</v>
      </c>
      <c r="I13" s="37" t="n">
        <f aca="false">H13/C13</f>
        <v>-0.381443298969072</v>
      </c>
      <c r="J13" s="38" t="s">
        <v>93</v>
      </c>
      <c r="K13" s="39" t="s">
        <v>140</v>
      </c>
      <c r="L13" s="38" t="s">
        <v>141</v>
      </c>
    </row>
    <row r="14" customFormat="false" ht="23.85" hidden="false" customHeight="false" outlineLevel="0" collapsed="false">
      <c r="A14" s="26" t="s">
        <v>99</v>
      </c>
      <c r="B14" s="30" t="s">
        <v>100</v>
      </c>
      <c r="C14" s="31" t="n">
        <v>750</v>
      </c>
      <c r="D14" s="32" t="n">
        <v>0.1</v>
      </c>
      <c r="E14" s="33" t="n">
        <v>0.05</v>
      </c>
      <c r="F14" s="34" t="n">
        <f aca="false">C14/D14</f>
        <v>7500</v>
      </c>
      <c r="G14" s="35" t="n">
        <f aca="false">F14*E14</f>
        <v>375</v>
      </c>
      <c r="H14" s="36" t="n">
        <f aca="false">G14-C14</f>
        <v>-375</v>
      </c>
      <c r="I14" s="37" t="n">
        <f aca="false">H14/C14</f>
        <v>-0.5</v>
      </c>
      <c r="J14" s="38" t="s">
        <v>101</v>
      </c>
      <c r="K14" s="39" t="s">
        <v>142</v>
      </c>
      <c r="L14" s="38" t="s">
        <v>143</v>
      </c>
    </row>
    <row r="15" customFormat="false" ht="15" hidden="false" customHeight="false" outlineLevel="0" collapsed="false">
      <c r="A15" s="23" t="s">
        <v>107</v>
      </c>
      <c r="B15" s="24" t="s">
        <v>144</v>
      </c>
      <c r="C15" s="42" t="n">
        <v>1000</v>
      </c>
      <c r="D15" s="24"/>
      <c r="E15" s="24"/>
      <c r="F15" s="24"/>
      <c r="G15" s="25" t="n">
        <v>1000</v>
      </c>
      <c r="H15" s="24" t="n">
        <v>0</v>
      </c>
      <c r="I15" s="24" t="n">
        <v>0</v>
      </c>
      <c r="J15" s="24"/>
      <c r="K15" s="24"/>
      <c r="L15" s="24"/>
    </row>
    <row r="16" customFormat="false" ht="26.85" hidden="false" customHeight="false" outlineLevel="0" collapsed="false">
      <c r="A16" s="43"/>
      <c r="B16" s="43" t="s">
        <v>145</v>
      </c>
      <c r="C16" s="44" t="n">
        <f aca="false">SUM(C5:C15)</f>
        <v>10000</v>
      </c>
      <c r="G16" s="45" t="n">
        <f aca="false">SUM(G5:G15)</f>
        <v>7344.27897083543</v>
      </c>
      <c r="H16" s="46" t="n">
        <f aca="false">G16-C16</f>
        <v>-2655.72102916457</v>
      </c>
      <c r="I16" s="47" t="n">
        <f aca="false">H16/C16</f>
        <v>-0.265572102916457</v>
      </c>
    </row>
    <row r="18" customFormat="false" ht="16.15" hidden="false" customHeight="false" outlineLevel="0" collapsed="false">
      <c r="A18" s="48" t="s">
        <v>146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</row>
    <row r="19" customFormat="false" ht="15" hidden="false" customHeight="false" outlineLevel="0" collapsed="false">
      <c r="A19" s="2" t="s">
        <v>117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1" customFormat="false" ht="19.7" hidden="false" customHeight="false" outlineLevel="0" collapsed="false">
      <c r="A21" s="49" t="s">
        <v>147</v>
      </c>
      <c r="B21" s="49"/>
      <c r="C21" s="50" t="n">
        <f aca="false">C16</f>
        <v>10000</v>
      </c>
    </row>
    <row r="22" customFormat="false" ht="19.7" hidden="false" customHeight="false" outlineLevel="0" collapsed="false">
      <c r="A22" s="49" t="s">
        <v>148</v>
      </c>
      <c r="B22" s="49"/>
      <c r="C22" s="51" t="n">
        <f aca="false">G16</f>
        <v>7344.27897083543</v>
      </c>
    </row>
    <row r="23" customFormat="false" ht="19.7" hidden="false" customHeight="false" outlineLevel="0" collapsed="false">
      <c r="A23" s="49" t="s">
        <v>149</v>
      </c>
      <c r="B23" s="49"/>
      <c r="C23" s="52" t="n">
        <f aca="false">H16</f>
        <v>-2655.72102916457</v>
      </c>
    </row>
    <row r="24" customFormat="false" ht="19.7" hidden="false" customHeight="false" outlineLevel="0" collapsed="false">
      <c r="A24" s="49" t="s">
        <v>150</v>
      </c>
      <c r="B24" s="49"/>
      <c r="C24" s="53" t="n">
        <f aca="false">I16</f>
        <v>-0.265572102916457</v>
      </c>
    </row>
  </sheetData>
  <mergeCells count="8">
    <mergeCell ref="A1:L1"/>
    <mergeCell ref="A2:L2"/>
    <mergeCell ref="A18:L18"/>
    <mergeCell ref="A19:L19"/>
    <mergeCell ref="A21:B21"/>
    <mergeCell ref="A22:B22"/>
    <mergeCell ref="A23:B23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BEAFE"/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6" min="3" style="0" width="10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25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3</v>
      </c>
      <c r="B4" s="3" t="s">
        <v>4</v>
      </c>
      <c r="C4" s="3" t="s">
        <v>118</v>
      </c>
      <c r="D4" s="3" t="s">
        <v>6</v>
      </c>
      <c r="E4" s="3" t="s">
        <v>119</v>
      </c>
      <c r="F4" s="3" t="s">
        <v>120</v>
      </c>
      <c r="G4" s="3" t="s">
        <v>121</v>
      </c>
      <c r="H4" s="3" t="s">
        <v>122</v>
      </c>
      <c r="I4" s="3" t="s">
        <v>123</v>
      </c>
      <c r="J4" s="3" t="s">
        <v>124</v>
      </c>
      <c r="K4" s="3" t="s">
        <v>125</v>
      </c>
      <c r="L4" s="3" t="s">
        <v>126</v>
      </c>
    </row>
    <row r="5" customFormat="false" ht="22.35" hidden="false" customHeight="false" outlineLevel="0" collapsed="false">
      <c r="A5" s="26" t="s">
        <v>22</v>
      </c>
      <c r="B5" s="30" t="s">
        <v>23</v>
      </c>
      <c r="C5" s="31" t="n">
        <v>1500</v>
      </c>
      <c r="D5" s="32" t="n">
        <v>0.72</v>
      </c>
      <c r="E5" s="54" t="n">
        <v>0.85</v>
      </c>
      <c r="F5" s="34" t="n">
        <f aca="false">C5/D5</f>
        <v>2083.33333333333</v>
      </c>
      <c r="G5" s="35" t="n">
        <f aca="false">F5*E5</f>
        <v>1770.83333333333</v>
      </c>
      <c r="H5" s="36" t="n">
        <f aca="false">G5-C5</f>
        <v>270.833333333334</v>
      </c>
      <c r="I5" s="37" t="n">
        <f aca="false">H5/C5</f>
        <v>0.180555555555556</v>
      </c>
      <c r="J5" s="38" t="s">
        <v>25</v>
      </c>
      <c r="K5" s="39" t="s">
        <v>140</v>
      </c>
      <c r="L5" s="38" t="s">
        <v>153</v>
      </c>
    </row>
    <row r="6" customFormat="false" ht="23.85" hidden="false" customHeight="false" outlineLevel="0" collapsed="false">
      <c r="A6" s="26" t="s">
        <v>33</v>
      </c>
      <c r="B6" s="30" t="s">
        <v>34</v>
      </c>
      <c r="C6" s="31" t="n">
        <v>1500</v>
      </c>
      <c r="D6" s="40" t="n">
        <v>4.1</v>
      </c>
      <c r="E6" s="55" t="n">
        <v>8</v>
      </c>
      <c r="F6" s="34" t="n">
        <f aca="false">C6/D6</f>
        <v>365.853658536585</v>
      </c>
      <c r="G6" s="35" t="n">
        <f aca="false">F6*E6</f>
        <v>2926.82926829268</v>
      </c>
      <c r="H6" s="36" t="n">
        <f aca="false">G6-C6</f>
        <v>1426.82926829268</v>
      </c>
      <c r="I6" s="37" t="n">
        <f aca="false">H6/C6</f>
        <v>0.951219512195122</v>
      </c>
      <c r="J6" s="38" t="s">
        <v>36</v>
      </c>
      <c r="K6" s="39" t="s">
        <v>131</v>
      </c>
      <c r="L6" s="38" t="s">
        <v>154</v>
      </c>
    </row>
    <row r="7" customFormat="false" ht="15" hidden="false" customHeight="false" outlineLevel="0" collapsed="false">
      <c r="A7" s="26" t="s">
        <v>43</v>
      </c>
      <c r="B7" s="30" t="s">
        <v>44</v>
      </c>
      <c r="C7" s="31" t="n">
        <v>1000</v>
      </c>
      <c r="D7" s="40" t="n">
        <v>2.04</v>
      </c>
      <c r="E7" s="55" t="n">
        <v>2.8</v>
      </c>
      <c r="F7" s="34" t="n">
        <f aca="false">C7/D7</f>
        <v>490.196078431373</v>
      </c>
      <c r="G7" s="35" t="n">
        <f aca="false">F7*E7</f>
        <v>1372.54901960784</v>
      </c>
      <c r="H7" s="36" t="n">
        <f aca="false">G7-C7</f>
        <v>372.549019607843</v>
      </c>
      <c r="I7" s="37" t="n">
        <f aca="false">H7/C7</f>
        <v>0.372549019607843</v>
      </c>
      <c r="J7" s="38" t="s">
        <v>45</v>
      </c>
      <c r="K7" s="39" t="s">
        <v>127</v>
      </c>
      <c r="L7" s="38" t="s">
        <v>155</v>
      </c>
    </row>
    <row r="8" customFormat="false" ht="15" hidden="false" customHeight="false" outlineLevel="0" collapsed="false">
      <c r="A8" s="26" t="s">
        <v>52</v>
      </c>
      <c r="B8" s="30" t="s">
        <v>53</v>
      </c>
      <c r="C8" s="31" t="n">
        <v>500</v>
      </c>
      <c r="D8" s="40" t="n">
        <v>33.78</v>
      </c>
      <c r="E8" s="55" t="n">
        <v>40</v>
      </c>
      <c r="F8" s="34" t="n">
        <f aca="false">C8/D8</f>
        <v>14.801657785672</v>
      </c>
      <c r="G8" s="35" t="n">
        <f aca="false">F8*E8</f>
        <v>592.06631142688</v>
      </c>
      <c r="H8" s="36" t="n">
        <f aca="false">G8-C8</f>
        <v>92.0663114268798</v>
      </c>
      <c r="I8" s="37" t="n">
        <f aca="false">H8/C8</f>
        <v>0.18413262285376</v>
      </c>
      <c r="J8" s="38" t="s">
        <v>54</v>
      </c>
      <c r="K8" s="39" t="s">
        <v>127</v>
      </c>
      <c r="L8" s="38" t="s">
        <v>156</v>
      </c>
    </row>
    <row r="9" customFormat="false" ht="15" hidden="false" customHeight="false" outlineLevel="0" collapsed="false">
      <c r="A9" s="26" t="s">
        <v>59</v>
      </c>
      <c r="B9" s="30" t="s">
        <v>60</v>
      </c>
      <c r="C9" s="31" t="n">
        <v>1000</v>
      </c>
      <c r="D9" s="40" t="n">
        <v>2.4</v>
      </c>
      <c r="E9" s="55" t="n">
        <v>4.5</v>
      </c>
      <c r="F9" s="34" t="n">
        <f aca="false">C9/D9</f>
        <v>416.666666666667</v>
      </c>
      <c r="G9" s="35" t="n">
        <f aca="false">F9*E9</f>
        <v>1875</v>
      </c>
      <c r="H9" s="36" t="n">
        <f aca="false">G9-C9</f>
        <v>875</v>
      </c>
      <c r="I9" s="37" t="n">
        <f aca="false">H9/C9</f>
        <v>0.875</v>
      </c>
      <c r="J9" s="38" t="s">
        <v>61</v>
      </c>
      <c r="K9" s="39" t="s">
        <v>131</v>
      </c>
      <c r="L9" s="38" t="s">
        <v>157</v>
      </c>
    </row>
    <row r="10" customFormat="false" ht="23.85" hidden="false" customHeight="false" outlineLevel="0" collapsed="false">
      <c r="A10" s="26" t="s">
        <v>67</v>
      </c>
      <c r="B10" s="30" t="s">
        <v>68</v>
      </c>
      <c r="C10" s="31" t="n">
        <v>1000</v>
      </c>
      <c r="D10" s="32" t="n">
        <v>0.28</v>
      </c>
      <c r="E10" s="54" t="n">
        <v>0.4</v>
      </c>
      <c r="F10" s="34" t="n">
        <f aca="false">C10/D10</f>
        <v>3571.42857142857</v>
      </c>
      <c r="G10" s="35" t="n">
        <f aca="false">F10*E10</f>
        <v>1428.57142857143</v>
      </c>
      <c r="H10" s="36" t="n">
        <f aca="false">G10-C10</f>
        <v>428.571428571428</v>
      </c>
      <c r="I10" s="37" t="n">
        <f aca="false">H10/C10</f>
        <v>0.428571428571428</v>
      </c>
      <c r="J10" s="38" t="s">
        <v>69</v>
      </c>
      <c r="K10" s="39" t="s">
        <v>140</v>
      </c>
      <c r="L10" s="38" t="s">
        <v>158</v>
      </c>
    </row>
    <row r="11" customFormat="false" ht="15" hidden="false" customHeight="false" outlineLevel="0" collapsed="false">
      <c r="A11" s="26" t="s">
        <v>75</v>
      </c>
      <c r="B11" s="30" t="s">
        <v>76</v>
      </c>
      <c r="C11" s="31" t="n">
        <v>500</v>
      </c>
      <c r="D11" s="32" t="n">
        <v>0.13</v>
      </c>
      <c r="E11" s="54" t="n">
        <v>0.18</v>
      </c>
      <c r="F11" s="34" t="n">
        <f aca="false">C11/D11</f>
        <v>3846.15384615385</v>
      </c>
      <c r="G11" s="35" t="n">
        <f aca="false">F11*E11</f>
        <v>692.307692307692</v>
      </c>
      <c r="H11" s="36" t="n">
        <f aca="false">G11-C11</f>
        <v>192.307692307692</v>
      </c>
      <c r="I11" s="37" t="n">
        <f aca="false">H11/C11</f>
        <v>0.384615384615385</v>
      </c>
      <c r="J11" s="38" t="s">
        <v>77</v>
      </c>
      <c r="K11" s="39" t="s">
        <v>131</v>
      </c>
      <c r="L11" s="38" t="s">
        <v>159</v>
      </c>
    </row>
    <row r="12" customFormat="false" ht="22.35" hidden="false" customHeight="false" outlineLevel="0" collapsed="false">
      <c r="A12" s="26" t="s">
        <v>82</v>
      </c>
      <c r="B12" s="30" t="s">
        <v>83</v>
      </c>
      <c r="C12" s="31" t="n">
        <v>500</v>
      </c>
      <c r="D12" s="32" t="n">
        <v>0.75</v>
      </c>
      <c r="E12" s="54" t="n">
        <v>0.95</v>
      </c>
      <c r="F12" s="34" t="n">
        <f aca="false">C12/D12</f>
        <v>666.666666666667</v>
      </c>
      <c r="G12" s="35" t="n">
        <f aca="false">F12*E12</f>
        <v>633.333333333333</v>
      </c>
      <c r="H12" s="36" t="n">
        <f aca="false">G12-C12</f>
        <v>133.333333333333</v>
      </c>
      <c r="I12" s="37" t="n">
        <f aca="false">H12/C12</f>
        <v>0.266666666666667</v>
      </c>
      <c r="J12" s="38" t="s">
        <v>84</v>
      </c>
      <c r="K12" s="39" t="s">
        <v>131</v>
      </c>
      <c r="L12" s="38" t="s">
        <v>160</v>
      </c>
    </row>
    <row r="13" customFormat="false" ht="22.35" hidden="false" customHeight="false" outlineLevel="0" collapsed="false">
      <c r="A13" s="26" t="s">
        <v>91</v>
      </c>
      <c r="B13" s="30" t="s">
        <v>92</v>
      </c>
      <c r="C13" s="31" t="n">
        <v>750</v>
      </c>
      <c r="D13" s="32" t="n">
        <v>0.0485</v>
      </c>
      <c r="E13" s="54" t="n">
        <v>0.08</v>
      </c>
      <c r="F13" s="34" t="n">
        <f aca="false">C13/D13</f>
        <v>15463.9175257732</v>
      </c>
      <c r="G13" s="35" t="n">
        <f aca="false">F13*E13</f>
        <v>1237.11340206186</v>
      </c>
      <c r="H13" s="36" t="n">
        <f aca="false">G13-C13</f>
        <v>487.113402061856</v>
      </c>
      <c r="I13" s="37" t="n">
        <f aca="false">H13/C13</f>
        <v>0.649484536082474</v>
      </c>
      <c r="J13" s="38" t="s">
        <v>93</v>
      </c>
      <c r="K13" s="39" t="s">
        <v>133</v>
      </c>
      <c r="L13" s="38" t="s">
        <v>161</v>
      </c>
    </row>
    <row r="14" customFormat="false" ht="23.85" hidden="false" customHeight="false" outlineLevel="0" collapsed="false">
      <c r="A14" s="26" t="s">
        <v>99</v>
      </c>
      <c r="B14" s="30" t="s">
        <v>100</v>
      </c>
      <c r="C14" s="31" t="n">
        <v>750</v>
      </c>
      <c r="D14" s="32" t="n">
        <v>0.1</v>
      </c>
      <c r="E14" s="54" t="n">
        <v>0.18</v>
      </c>
      <c r="F14" s="34" t="n">
        <f aca="false">C14/D14</f>
        <v>7500</v>
      </c>
      <c r="G14" s="35" t="n">
        <f aca="false">F14*E14</f>
        <v>1350</v>
      </c>
      <c r="H14" s="36" t="n">
        <f aca="false">G14-C14</f>
        <v>600</v>
      </c>
      <c r="I14" s="37" t="n">
        <f aca="false">H14/C14</f>
        <v>0.8</v>
      </c>
      <c r="J14" s="38" t="s">
        <v>101</v>
      </c>
      <c r="K14" s="39" t="s">
        <v>136</v>
      </c>
      <c r="L14" s="38" t="s">
        <v>162</v>
      </c>
    </row>
    <row r="15" customFormat="false" ht="15" hidden="false" customHeight="false" outlineLevel="0" collapsed="false">
      <c r="A15" s="23" t="s">
        <v>107</v>
      </c>
      <c r="B15" s="24" t="s">
        <v>144</v>
      </c>
      <c r="C15" s="42" t="n">
        <v>1000</v>
      </c>
      <c r="D15" s="24"/>
      <c r="E15" s="24"/>
      <c r="F15" s="24"/>
      <c r="G15" s="25" t="n">
        <v>1000</v>
      </c>
      <c r="H15" s="24" t="n">
        <v>0</v>
      </c>
      <c r="I15" s="24" t="n">
        <v>0</v>
      </c>
      <c r="J15" s="24"/>
      <c r="K15" s="24"/>
      <c r="L15" s="24"/>
    </row>
    <row r="16" customFormat="false" ht="26.85" hidden="false" customHeight="false" outlineLevel="0" collapsed="false">
      <c r="A16" s="43"/>
      <c r="B16" s="43" t="s">
        <v>145</v>
      </c>
      <c r="C16" s="44" t="n">
        <f aca="false">SUM(C5:C15)</f>
        <v>10000</v>
      </c>
      <c r="G16" s="45" t="n">
        <f aca="false">SUM(G5:G15)</f>
        <v>14878.603788935</v>
      </c>
      <c r="H16" s="46" t="n">
        <f aca="false">G16-C16</f>
        <v>4878.60378893505</v>
      </c>
      <c r="I16" s="47" t="n">
        <f aca="false">H16/C16</f>
        <v>0.487860378893505</v>
      </c>
    </row>
    <row r="18" customFormat="false" ht="16.15" hidden="false" customHeight="false" outlineLevel="0" collapsed="false">
      <c r="A18" s="48" t="s">
        <v>163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</row>
    <row r="19" customFormat="false" ht="15" hidden="false" customHeight="false" outlineLevel="0" collapsed="false">
      <c r="A19" s="2" t="s">
        <v>152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1" customFormat="false" ht="19.7" hidden="false" customHeight="false" outlineLevel="0" collapsed="false">
      <c r="A21" s="49" t="s">
        <v>147</v>
      </c>
      <c r="B21" s="49"/>
      <c r="C21" s="50" t="n">
        <f aca="false">C16</f>
        <v>10000</v>
      </c>
    </row>
    <row r="22" customFormat="false" ht="19.7" hidden="false" customHeight="false" outlineLevel="0" collapsed="false">
      <c r="A22" s="49" t="s">
        <v>148</v>
      </c>
      <c r="B22" s="49"/>
      <c r="C22" s="51" t="n">
        <f aca="false">G16</f>
        <v>14878.603788935</v>
      </c>
    </row>
    <row r="23" customFormat="false" ht="19.7" hidden="false" customHeight="false" outlineLevel="0" collapsed="false">
      <c r="A23" s="49" t="s">
        <v>149</v>
      </c>
      <c r="B23" s="49"/>
      <c r="C23" s="52" t="n">
        <f aca="false">H16</f>
        <v>4878.60378893505</v>
      </c>
    </row>
    <row r="24" customFormat="false" ht="19.7" hidden="false" customHeight="false" outlineLevel="0" collapsed="false">
      <c r="A24" s="49" t="s">
        <v>150</v>
      </c>
      <c r="B24" s="49"/>
      <c r="C24" s="53" t="n">
        <f aca="false">I16</f>
        <v>0.487860378893505</v>
      </c>
    </row>
  </sheetData>
  <mergeCells count="8">
    <mergeCell ref="A1:L1"/>
    <mergeCell ref="A2:L2"/>
    <mergeCell ref="A18:L18"/>
    <mergeCell ref="A19:L19"/>
    <mergeCell ref="A21:B21"/>
    <mergeCell ref="A22:B22"/>
    <mergeCell ref="A23:B23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FFF3"/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6" min="3" style="0" width="10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25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164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3</v>
      </c>
      <c r="B4" s="3" t="s">
        <v>4</v>
      </c>
      <c r="C4" s="3" t="s">
        <v>118</v>
      </c>
      <c r="D4" s="3" t="s">
        <v>6</v>
      </c>
      <c r="E4" s="3" t="s">
        <v>119</v>
      </c>
      <c r="F4" s="3" t="s">
        <v>120</v>
      </c>
      <c r="G4" s="3" t="s">
        <v>121</v>
      </c>
      <c r="H4" s="3" t="s">
        <v>122</v>
      </c>
      <c r="I4" s="3" t="s">
        <v>123</v>
      </c>
      <c r="J4" s="3" t="s">
        <v>124</v>
      </c>
      <c r="K4" s="3" t="s">
        <v>125</v>
      </c>
      <c r="L4" s="3" t="s">
        <v>126</v>
      </c>
    </row>
    <row r="5" customFormat="false" ht="15" hidden="false" customHeight="false" outlineLevel="0" collapsed="false">
      <c r="A5" s="26" t="s">
        <v>22</v>
      </c>
      <c r="B5" s="30" t="s">
        <v>23</v>
      </c>
      <c r="C5" s="31" t="n">
        <v>1500</v>
      </c>
      <c r="D5" s="32" t="n">
        <v>0.72</v>
      </c>
      <c r="E5" s="56" t="n">
        <v>1</v>
      </c>
      <c r="F5" s="34" t="n">
        <f aca="false">C5/D5</f>
        <v>2083.33333333333</v>
      </c>
      <c r="G5" s="35" t="n">
        <f aca="false">F5*E5</f>
        <v>2083.33333333333</v>
      </c>
      <c r="H5" s="36" t="n">
        <f aca="false">G5-C5</f>
        <v>583.333333333334</v>
      </c>
      <c r="I5" s="37" t="n">
        <f aca="false">H5/C5</f>
        <v>0.388888888888889</v>
      </c>
      <c r="J5" s="38" t="s">
        <v>25</v>
      </c>
      <c r="K5" s="39" t="s">
        <v>129</v>
      </c>
      <c r="L5" s="38" t="s">
        <v>166</v>
      </c>
    </row>
    <row r="6" customFormat="false" ht="23.85" hidden="false" customHeight="false" outlineLevel="0" collapsed="false">
      <c r="A6" s="26" t="s">
        <v>33</v>
      </c>
      <c r="B6" s="30" t="s">
        <v>34</v>
      </c>
      <c r="C6" s="31" t="n">
        <v>1500</v>
      </c>
      <c r="D6" s="40" t="n">
        <v>4.1</v>
      </c>
      <c r="E6" s="56" t="n">
        <v>8</v>
      </c>
      <c r="F6" s="34" t="n">
        <f aca="false">C6/D6</f>
        <v>365.853658536585</v>
      </c>
      <c r="G6" s="35" t="n">
        <f aca="false">F6*E6</f>
        <v>2926.82926829268</v>
      </c>
      <c r="H6" s="36" t="n">
        <f aca="false">G6-C6</f>
        <v>1426.82926829268</v>
      </c>
      <c r="I6" s="37" t="n">
        <f aca="false">H6/C6</f>
        <v>0.951219512195122</v>
      </c>
      <c r="J6" s="38" t="s">
        <v>36</v>
      </c>
      <c r="K6" s="39" t="s">
        <v>136</v>
      </c>
      <c r="L6" s="38" t="s">
        <v>167</v>
      </c>
    </row>
    <row r="7" customFormat="false" ht="15" hidden="false" customHeight="false" outlineLevel="0" collapsed="false">
      <c r="A7" s="26" t="s">
        <v>43</v>
      </c>
      <c r="B7" s="30" t="s">
        <v>44</v>
      </c>
      <c r="C7" s="31" t="n">
        <v>1000</v>
      </c>
      <c r="D7" s="40" t="n">
        <v>2.04</v>
      </c>
      <c r="E7" s="56" t="n">
        <v>3</v>
      </c>
      <c r="F7" s="34" t="n">
        <f aca="false">C7/D7</f>
        <v>490.196078431373</v>
      </c>
      <c r="G7" s="35" t="n">
        <f aca="false">F7*E7</f>
        <v>1470.58823529412</v>
      </c>
      <c r="H7" s="36" t="n">
        <f aca="false">G7-C7</f>
        <v>470.588235294118</v>
      </c>
      <c r="I7" s="37" t="n">
        <f aca="false">H7/C7</f>
        <v>0.470588235294118</v>
      </c>
      <c r="J7" s="38" t="s">
        <v>45</v>
      </c>
      <c r="K7" s="39" t="s">
        <v>136</v>
      </c>
      <c r="L7" s="38" t="s">
        <v>168</v>
      </c>
    </row>
    <row r="8" customFormat="false" ht="15" hidden="false" customHeight="false" outlineLevel="0" collapsed="false">
      <c r="A8" s="26" t="s">
        <v>52</v>
      </c>
      <c r="B8" s="30" t="s">
        <v>53</v>
      </c>
      <c r="C8" s="31" t="n">
        <v>500</v>
      </c>
      <c r="D8" s="40" t="n">
        <v>33.78</v>
      </c>
      <c r="E8" s="56" t="n">
        <v>42</v>
      </c>
      <c r="F8" s="34" t="n">
        <f aca="false">C8/D8</f>
        <v>14.801657785672</v>
      </c>
      <c r="G8" s="35" t="n">
        <f aca="false">F8*E8</f>
        <v>621.669626998224</v>
      </c>
      <c r="H8" s="36" t="n">
        <f aca="false">G8-C8</f>
        <v>121.669626998224</v>
      </c>
      <c r="I8" s="37" t="n">
        <f aca="false">H8/C8</f>
        <v>0.243339253996448</v>
      </c>
      <c r="J8" s="38" t="s">
        <v>54</v>
      </c>
      <c r="K8" s="39" t="s">
        <v>136</v>
      </c>
      <c r="L8" s="38" t="s">
        <v>169</v>
      </c>
    </row>
    <row r="9" customFormat="false" ht="22.35" hidden="false" customHeight="false" outlineLevel="0" collapsed="false">
      <c r="A9" s="26" t="s">
        <v>59</v>
      </c>
      <c r="B9" s="30" t="s">
        <v>60</v>
      </c>
      <c r="C9" s="31" t="n">
        <v>1000</v>
      </c>
      <c r="D9" s="40" t="n">
        <v>2.4</v>
      </c>
      <c r="E9" s="56" t="n">
        <v>5</v>
      </c>
      <c r="F9" s="34" t="n">
        <f aca="false">C9/D9</f>
        <v>416.666666666667</v>
      </c>
      <c r="G9" s="35" t="n">
        <f aca="false">F9*E9</f>
        <v>2083.33333333333</v>
      </c>
      <c r="H9" s="36" t="n">
        <f aca="false">G9-C9</f>
        <v>1083.33333333333</v>
      </c>
      <c r="I9" s="37" t="n">
        <f aca="false">H9/C9</f>
        <v>1.08333333333333</v>
      </c>
      <c r="J9" s="38" t="s">
        <v>61</v>
      </c>
      <c r="K9" s="39" t="s">
        <v>129</v>
      </c>
      <c r="L9" s="38" t="s">
        <v>170</v>
      </c>
    </row>
    <row r="10" customFormat="false" ht="23.85" hidden="false" customHeight="false" outlineLevel="0" collapsed="false">
      <c r="A10" s="26" t="s">
        <v>67</v>
      </c>
      <c r="B10" s="30" t="s">
        <v>68</v>
      </c>
      <c r="C10" s="31" t="n">
        <v>1000</v>
      </c>
      <c r="D10" s="32" t="n">
        <v>0.28</v>
      </c>
      <c r="E10" s="57" t="n">
        <v>0.45</v>
      </c>
      <c r="F10" s="34" t="n">
        <f aca="false">C10/D10</f>
        <v>3571.42857142857</v>
      </c>
      <c r="G10" s="35" t="n">
        <f aca="false">F10*E10</f>
        <v>1607.14285714286</v>
      </c>
      <c r="H10" s="36" t="n">
        <f aca="false">G10-C10</f>
        <v>607.142857142857</v>
      </c>
      <c r="I10" s="37" t="n">
        <f aca="false">H10/C10</f>
        <v>0.607142857142857</v>
      </c>
      <c r="J10" s="38" t="s">
        <v>69</v>
      </c>
      <c r="K10" s="39" t="s">
        <v>136</v>
      </c>
      <c r="L10" s="38" t="s">
        <v>171</v>
      </c>
    </row>
    <row r="11" customFormat="false" ht="22.35" hidden="false" customHeight="false" outlineLevel="0" collapsed="false">
      <c r="A11" s="26" t="s">
        <v>75</v>
      </c>
      <c r="B11" s="30" t="s">
        <v>76</v>
      </c>
      <c r="C11" s="31" t="n">
        <v>500</v>
      </c>
      <c r="D11" s="32" t="n">
        <v>0.13</v>
      </c>
      <c r="E11" s="57" t="n">
        <v>0.22</v>
      </c>
      <c r="F11" s="34" t="n">
        <f aca="false">C11/D11</f>
        <v>3846.15384615385</v>
      </c>
      <c r="G11" s="35" t="n">
        <f aca="false">F11*E11</f>
        <v>846.153846153846</v>
      </c>
      <c r="H11" s="36" t="n">
        <f aca="false">G11-C11</f>
        <v>346.153846153846</v>
      </c>
      <c r="I11" s="37" t="n">
        <f aca="false">H11/C11</f>
        <v>0.692307692307692</v>
      </c>
      <c r="J11" s="38" t="s">
        <v>77</v>
      </c>
      <c r="K11" s="39" t="s">
        <v>136</v>
      </c>
      <c r="L11" s="38" t="s">
        <v>172</v>
      </c>
    </row>
    <row r="12" customFormat="false" ht="15" hidden="false" customHeight="false" outlineLevel="0" collapsed="false">
      <c r="A12" s="26" t="s">
        <v>82</v>
      </c>
      <c r="B12" s="30" t="s">
        <v>83</v>
      </c>
      <c r="C12" s="31" t="n">
        <v>500</v>
      </c>
      <c r="D12" s="32" t="n">
        <v>0.75</v>
      </c>
      <c r="E12" s="56" t="n">
        <v>1</v>
      </c>
      <c r="F12" s="34" t="n">
        <f aca="false">C12/D12</f>
        <v>666.666666666667</v>
      </c>
      <c r="G12" s="35" t="n">
        <f aca="false">F12*E12</f>
        <v>666.666666666667</v>
      </c>
      <c r="H12" s="36" t="n">
        <f aca="false">G12-C12</f>
        <v>166.666666666667</v>
      </c>
      <c r="I12" s="37" t="n">
        <f aca="false">H12/C12</f>
        <v>0.333333333333333</v>
      </c>
      <c r="J12" s="38" t="s">
        <v>84</v>
      </c>
      <c r="K12" s="39" t="s">
        <v>136</v>
      </c>
      <c r="L12" s="38" t="s">
        <v>173</v>
      </c>
    </row>
    <row r="13" customFormat="false" ht="22.35" hidden="false" customHeight="false" outlineLevel="0" collapsed="false">
      <c r="A13" s="26" t="s">
        <v>91</v>
      </c>
      <c r="B13" s="30" t="s">
        <v>92</v>
      </c>
      <c r="C13" s="31" t="n">
        <v>750</v>
      </c>
      <c r="D13" s="32" t="n">
        <v>0.0485</v>
      </c>
      <c r="E13" s="57" t="n">
        <v>0.1</v>
      </c>
      <c r="F13" s="34" t="n">
        <f aca="false">C13/D13</f>
        <v>15463.9175257732</v>
      </c>
      <c r="G13" s="35" t="n">
        <f aca="false">F13*E13</f>
        <v>1546.39175257732</v>
      </c>
      <c r="H13" s="36" t="n">
        <f aca="false">G13-C13</f>
        <v>796.39175257732</v>
      </c>
      <c r="I13" s="37" t="n">
        <f aca="false">H13/C13</f>
        <v>1.06185567010309</v>
      </c>
      <c r="J13" s="38" t="s">
        <v>93</v>
      </c>
      <c r="K13" s="39" t="s">
        <v>174</v>
      </c>
      <c r="L13" s="38" t="s">
        <v>175</v>
      </c>
    </row>
    <row r="14" customFormat="false" ht="23.85" hidden="false" customHeight="false" outlineLevel="0" collapsed="false">
      <c r="A14" s="26" t="s">
        <v>99</v>
      </c>
      <c r="B14" s="30" t="s">
        <v>100</v>
      </c>
      <c r="C14" s="31" t="n">
        <v>750</v>
      </c>
      <c r="D14" s="32" t="n">
        <v>0.1</v>
      </c>
      <c r="E14" s="57" t="n">
        <v>0.25</v>
      </c>
      <c r="F14" s="34" t="n">
        <f aca="false">C14/D14</f>
        <v>7500</v>
      </c>
      <c r="G14" s="35" t="n">
        <f aca="false">F14*E14</f>
        <v>1875</v>
      </c>
      <c r="H14" s="36" t="n">
        <f aca="false">G14-C14</f>
        <v>1125</v>
      </c>
      <c r="I14" s="37" t="n">
        <f aca="false">H14/C14</f>
        <v>1.5</v>
      </c>
      <c r="J14" s="38" t="s">
        <v>101</v>
      </c>
      <c r="K14" s="39" t="s">
        <v>176</v>
      </c>
      <c r="L14" s="38" t="s">
        <v>177</v>
      </c>
    </row>
    <row r="15" customFormat="false" ht="15" hidden="false" customHeight="false" outlineLevel="0" collapsed="false">
      <c r="A15" s="23" t="s">
        <v>107</v>
      </c>
      <c r="B15" s="24" t="s">
        <v>144</v>
      </c>
      <c r="C15" s="42" t="n">
        <v>1000</v>
      </c>
      <c r="D15" s="24"/>
      <c r="E15" s="24"/>
      <c r="F15" s="24"/>
      <c r="G15" s="25" t="n">
        <v>1000</v>
      </c>
      <c r="H15" s="24" t="n">
        <v>0</v>
      </c>
      <c r="I15" s="24" t="n">
        <v>0</v>
      </c>
      <c r="J15" s="24"/>
      <c r="K15" s="24"/>
      <c r="L15" s="24"/>
    </row>
    <row r="16" customFormat="false" ht="26.85" hidden="false" customHeight="false" outlineLevel="0" collapsed="false">
      <c r="A16" s="43"/>
      <c r="B16" s="43" t="s">
        <v>145</v>
      </c>
      <c r="C16" s="44" t="n">
        <f aca="false">SUM(C5:C15)</f>
        <v>10000</v>
      </c>
      <c r="G16" s="45" t="n">
        <f aca="false">SUM(G5:G15)</f>
        <v>16727.1089197924</v>
      </c>
      <c r="H16" s="46" t="n">
        <f aca="false">G16-C16</f>
        <v>6727.10891979238</v>
      </c>
      <c r="I16" s="47" t="n">
        <f aca="false">H16/C16</f>
        <v>0.672710891979238</v>
      </c>
    </row>
    <row r="18" customFormat="false" ht="16.15" hidden="false" customHeight="false" outlineLevel="0" collapsed="false">
      <c r="A18" s="48" t="s">
        <v>178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</row>
    <row r="19" customFormat="false" ht="15" hidden="false" customHeight="false" outlineLevel="0" collapsed="false">
      <c r="A19" s="2" t="s">
        <v>165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1" customFormat="false" ht="19.7" hidden="false" customHeight="false" outlineLevel="0" collapsed="false">
      <c r="A21" s="49" t="s">
        <v>147</v>
      </c>
      <c r="B21" s="49"/>
      <c r="C21" s="50" t="n">
        <f aca="false">C16</f>
        <v>10000</v>
      </c>
    </row>
    <row r="22" customFormat="false" ht="19.7" hidden="false" customHeight="false" outlineLevel="0" collapsed="false">
      <c r="A22" s="49" t="s">
        <v>148</v>
      </c>
      <c r="B22" s="49"/>
      <c r="C22" s="51" t="n">
        <f aca="false">G16</f>
        <v>16727.1089197924</v>
      </c>
    </row>
    <row r="23" customFormat="false" ht="19.7" hidden="false" customHeight="false" outlineLevel="0" collapsed="false">
      <c r="A23" s="49" t="s">
        <v>149</v>
      </c>
      <c r="B23" s="49"/>
      <c r="C23" s="52" t="n">
        <f aca="false">H16</f>
        <v>6727.10891979238</v>
      </c>
    </row>
    <row r="24" customFormat="false" ht="19.7" hidden="false" customHeight="false" outlineLevel="0" collapsed="false">
      <c r="A24" s="49" t="s">
        <v>150</v>
      </c>
      <c r="B24" s="49"/>
      <c r="C24" s="53" t="n">
        <f aca="false">I16</f>
        <v>0.672710891979238</v>
      </c>
    </row>
  </sheetData>
  <mergeCells count="8">
    <mergeCell ref="A1:L1"/>
    <mergeCell ref="A2:L2"/>
    <mergeCell ref="A18:L18"/>
    <mergeCell ref="A19:L19"/>
    <mergeCell ref="A21:B21"/>
    <mergeCell ref="A22:B22"/>
    <mergeCell ref="A23:B23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1FAE5"/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6" min="3" style="0" width="10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25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3</v>
      </c>
      <c r="B4" s="3" t="s">
        <v>4</v>
      </c>
      <c r="C4" s="3" t="s">
        <v>118</v>
      </c>
      <c r="D4" s="3" t="s">
        <v>6</v>
      </c>
      <c r="E4" s="3" t="s">
        <v>119</v>
      </c>
      <c r="F4" s="3" t="s">
        <v>120</v>
      </c>
      <c r="G4" s="3" t="s">
        <v>121</v>
      </c>
      <c r="H4" s="3" t="s">
        <v>122</v>
      </c>
      <c r="I4" s="3" t="s">
        <v>123</v>
      </c>
      <c r="J4" s="3" t="s">
        <v>124</v>
      </c>
      <c r="K4" s="3" t="s">
        <v>125</v>
      </c>
      <c r="L4" s="3" t="s">
        <v>126</v>
      </c>
    </row>
    <row r="5" customFormat="false" ht="22.35" hidden="false" customHeight="false" outlineLevel="0" collapsed="false">
      <c r="A5" s="26" t="s">
        <v>22</v>
      </c>
      <c r="B5" s="30" t="s">
        <v>23</v>
      </c>
      <c r="C5" s="31" t="n">
        <v>1500</v>
      </c>
      <c r="D5" s="32" t="n">
        <v>0.72</v>
      </c>
      <c r="E5" s="58" t="n">
        <v>1.2</v>
      </c>
      <c r="F5" s="34" t="n">
        <f aca="false">C5/D5</f>
        <v>2083.33333333333</v>
      </c>
      <c r="G5" s="35" t="n">
        <f aca="false">F5*E5</f>
        <v>2500</v>
      </c>
      <c r="H5" s="36" t="n">
        <f aca="false">G5-C5</f>
        <v>1000</v>
      </c>
      <c r="I5" s="37" t="n">
        <f aca="false">H5/C5</f>
        <v>0.666666666666667</v>
      </c>
      <c r="J5" s="38" t="s">
        <v>25</v>
      </c>
      <c r="K5" s="39" t="s">
        <v>176</v>
      </c>
      <c r="L5" s="38" t="s">
        <v>181</v>
      </c>
    </row>
    <row r="6" customFormat="false" ht="23.85" hidden="false" customHeight="false" outlineLevel="0" collapsed="false">
      <c r="A6" s="26" t="s">
        <v>33</v>
      </c>
      <c r="B6" s="30" t="s">
        <v>34</v>
      </c>
      <c r="C6" s="31" t="n">
        <v>1500</v>
      </c>
      <c r="D6" s="40" t="n">
        <v>4.1</v>
      </c>
      <c r="E6" s="58" t="n">
        <v>12</v>
      </c>
      <c r="F6" s="34" t="n">
        <f aca="false">C6/D6</f>
        <v>365.853658536585</v>
      </c>
      <c r="G6" s="35" t="n">
        <f aca="false">F6*E6</f>
        <v>4390.24390243902</v>
      </c>
      <c r="H6" s="36" t="n">
        <f aca="false">G6-C6</f>
        <v>2890.24390243902</v>
      </c>
      <c r="I6" s="37" t="n">
        <f aca="false">H6/C6</f>
        <v>1.92682926829268</v>
      </c>
      <c r="J6" s="38" t="s">
        <v>36</v>
      </c>
      <c r="K6" s="39" t="s">
        <v>176</v>
      </c>
      <c r="L6" s="38" t="s">
        <v>182</v>
      </c>
    </row>
    <row r="7" customFormat="false" ht="22.35" hidden="false" customHeight="false" outlineLevel="0" collapsed="false">
      <c r="A7" s="26" t="s">
        <v>43</v>
      </c>
      <c r="B7" s="30" t="s">
        <v>44</v>
      </c>
      <c r="C7" s="31" t="n">
        <v>1000</v>
      </c>
      <c r="D7" s="40" t="n">
        <v>2.04</v>
      </c>
      <c r="E7" s="58" t="n">
        <v>3.6</v>
      </c>
      <c r="F7" s="34" t="n">
        <f aca="false">C7/D7</f>
        <v>490.196078431373</v>
      </c>
      <c r="G7" s="35" t="n">
        <f aca="false">F7*E7</f>
        <v>1764.70588235294</v>
      </c>
      <c r="H7" s="36" t="n">
        <f aca="false">G7-C7</f>
        <v>764.705882352941</v>
      </c>
      <c r="I7" s="37" t="n">
        <f aca="false">H7/C7</f>
        <v>0.764705882352941</v>
      </c>
      <c r="J7" s="38" t="s">
        <v>45</v>
      </c>
      <c r="K7" s="39" t="s">
        <v>183</v>
      </c>
      <c r="L7" s="38" t="s">
        <v>184</v>
      </c>
    </row>
    <row r="8" customFormat="false" ht="15" hidden="false" customHeight="false" outlineLevel="0" collapsed="false">
      <c r="A8" s="26" t="s">
        <v>52</v>
      </c>
      <c r="B8" s="30" t="s">
        <v>53</v>
      </c>
      <c r="C8" s="31" t="n">
        <v>500</v>
      </c>
      <c r="D8" s="40" t="n">
        <v>33.78</v>
      </c>
      <c r="E8" s="58" t="n">
        <v>50</v>
      </c>
      <c r="F8" s="34" t="n">
        <f aca="false">C8/D8</f>
        <v>14.801657785672</v>
      </c>
      <c r="G8" s="35" t="n">
        <f aca="false">F8*E8</f>
        <v>740.0828892836</v>
      </c>
      <c r="H8" s="36" t="n">
        <f aca="false">G8-C8</f>
        <v>240.0828892836</v>
      </c>
      <c r="I8" s="37" t="n">
        <f aca="false">H8/C8</f>
        <v>0.4801657785672</v>
      </c>
      <c r="J8" s="38" t="s">
        <v>54</v>
      </c>
      <c r="K8" s="39" t="s">
        <v>176</v>
      </c>
      <c r="L8" s="38" t="s">
        <v>185</v>
      </c>
    </row>
    <row r="9" customFormat="false" ht="22.35" hidden="false" customHeight="false" outlineLevel="0" collapsed="false">
      <c r="A9" s="26" t="s">
        <v>59</v>
      </c>
      <c r="B9" s="30" t="s">
        <v>60</v>
      </c>
      <c r="C9" s="31" t="n">
        <v>1000</v>
      </c>
      <c r="D9" s="40" t="n">
        <v>2.4</v>
      </c>
      <c r="E9" s="58" t="n">
        <v>7</v>
      </c>
      <c r="F9" s="34" t="n">
        <f aca="false">C9/D9</f>
        <v>416.666666666667</v>
      </c>
      <c r="G9" s="35" t="n">
        <f aca="false">F9*E9</f>
        <v>2916.66666666667</v>
      </c>
      <c r="H9" s="36" t="n">
        <f aca="false">G9-C9</f>
        <v>1916.66666666667</v>
      </c>
      <c r="I9" s="37" t="n">
        <f aca="false">H9/C9</f>
        <v>1.91666666666667</v>
      </c>
      <c r="J9" s="38" t="s">
        <v>61</v>
      </c>
      <c r="K9" s="39" t="s">
        <v>176</v>
      </c>
      <c r="L9" s="38" t="s">
        <v>186</v>
      </c>
    </row>
    <row r="10" customFormat="false" ht="23.85" hidden="false" customHeight="false" outlineLevel="0" collapsed="false">
      <c r="A10" s="26" t="s">
        <v>67</v>
      </c>
      <c r="B10" s="30" t="s">
        <v>68</v>
      </c>
      <c r="C10" s="31" t="n">
        <v>1000</v>
      </c>
      <c r="D10" s="32" t="n">
        <v>0.28</v>
      </c>
      <c r="E10" s="59" t="n">
        <v>0.54</v>
      </c>
      <c r="F10" s="34" t="n">
        <f aca="false">C10/D10</f>
        <v>3571.42857142857</v>
      </c>
      <c r="G10" s="35" t="n">
        <f aca="false">F10*E10</f>
        <v>1928.57142857143</v>
      </c>
      <c r="H10" s="36" t="n">
        <f aca="false">G10-C10</f>
        <v>928.571428571428</v>
      </c>
      <c r="I10" s="37" t="n">
        <f aca="false">H10/C10</f>
        <v>0.928571428571429</v>
      </c>
      <c r="J10" s="38" t="s">
        <v>69</v>
      </c>
      <c r="K10" s="39" t="s">
        <v>183</v>
      </c>
      <c r="L10" s="38" t="s">
        <v>187</v>
      </c>
    </row>
    <row r="11" customFormat="false" ht="22.35" hidden="false" customHeight="false" outlineLevel="0" collapsed="false">
      <c r="A11" s="26" t="s">
        <v>75</v>
      </c>
      <c r="B11" s="30" t="s">
        <v>76</v>
      </c>
      <c r="C11" s="31" t="n">
        <v>500</v>
      </c>
      <c r="D11" s="32" t="n">
        <v>0.13</v>
      </c>
      <c r="E11" s="59" t="n">
        <v>0.28</v>
      </c>
      <c r="F11" s="34" t="n">
        <f aca="false">C11/D11</f>
        <v>3846.15384615385</v>
      </c>
      <c r="G11" s="35" t="n">
        <f aca="false">F11*E11</f>
        <v>1076.92307692308</v>
      </c>
      <c r="H11" s="36" t="n">
        <f aca="false">G11-C11</f>
        <v>576.923076923077</v>
      </c>
      <c r="I11" s="37" t="n">
        <f aca="false">H11/C11</f>
        <v>1.15384615384615</v>
      </c>
      <c r="J11" s="38" t="s">
        <v>77</v>
      </c>
      <c r="K11" s="39" t="s">
        <v>183</v>
      </c>
      <c r="L11" s="38" t="s">
        <v>188</v>
      </c>
    </row>
    <row r="12" customFormat="false" ht="22.35" hidden="false" customHeight="false" outlineLevel="0" collapsed="false">
      <c r="A12" s="26" t="s">
        <v>82</v>
      </c>
      <c r="B12" s="30" t="s">
        <v>83</v>
      </c>
      <c r="C12" s="31" t="n">
        <v>500</v>
      </c>
      <c r="D12" s="32" t="n">
        <v>0.75</v>
      </c>
      <c r="E12" s="58" t="n">
        <v>1.2</v>
      </c>
      <c r="F12" s="34" t="n">
        <f aca="false">C12/D12</f>
        <v>666.666666666667</v>
      </c>
      <c r="G12" s="35" t="n">
        <f aca="false">F12*E12</f>
        <v>800</v>
      </c>
      <c r="H12" s="36" t="n">
        <f aca="false">G12-C12</f>
        <v>300</v>
      </c>
      <c r="I12" s="37" t="n">
        <f aca="false">H12/C12</f>
        <v>0.6</v>
      </c>
      <c r="J12" s="38" t="s">
        <v>84</v>
      </c>
      <c r="K12" s="39" t="s">
        <v>183</v>
      </c>
      <c r="L12" s="38" t="s">
        <v>189</v>
      </c>
    </row>
    <row r="13" customFormat="false" ht="22.35" hidden="false" customHeight="false" outlineLevel="0" collapsed="false">
      <c r="A13" s="26" t="s">
        <v>91</v>
      </c>
      <c r="B13" s="30" t="s">
        <v>92</v>
      </c>
      <c r="C13" s="31" t="n">
        <v>750</v>
      </c>
      <c r="D13" s="32" t="n">
        <v>0.0485</v>
      </c>
      <c r="E13" s="59" t="n">
        <v>0.15</v>
      </c>
      <c r="F13" s="34" t="n">
        <f aca="false">C13/D13</f>
        <v>15463.9175257732</v>
      </c>
      <c r="G13" s="35" t="n">
        <f aca="false">F13*E13</f>
        <v>2319.58762886598</v>
      </c>
      <c r="H13" s="36" t="n">
        <f aca="false">G13-C13</f>
        <v>1569.58762886598</v>
      </c>
      <c r="I13" s="37" t="n">
        <f aca="false">H13/C13</f>
        <v>2.09278350515464</v>
      </c>
      <c r="J13" s="38" t="s">
        <v>93</v>
      </c>
      <c r="K13" s="39" t="s">
        <v>190</v>
      </c>
      <c r="L13" s="38" t="s">
        <v>191</v>
      </c>
    </row>
    <row r="14" customFormat="false" ht="23.85" hidden="false" customHeight="false" outlineLevel="0" collapsed="false">
      <c r="A14" s="26" t="s">
        <v>99</v>
      </c>
      <c r="B14" s="30" t="s">
        <v>100</v>
      </c>
      <c r="C14" s="31" t="n">
        <v>750</v>
      </c>
      <c r="D14" s="32" t="n">
        <v>0.1</v>
      </c>
      <c r="E14" s="59" t="n">
        <v>0.5</v>
      </c>
      <c r="F14" s="34" t="n">
        <f aca="false">C14/D14</f>
        <v>7500</v>
      </c>
      <c r="G14" s="35" t="n">
        <f aca="false">F14*E14</f>
        <v>3750</v>
      </c>
      <c r="H14" s="36" t="n">
        <f aca="false">G14-C14</f>
        <v>3000</v>
      </c>
      <c r="I14" s="37" t="n">
        <f aca="false">H14/C14</f>
        <v>4</v>
      </c>
      <c r="J14" s="38" t="s">
        <v>101</v>
      </c>
      <c r="K14" s="39" t="s">
        <v>192</v>
      </c>
      <c r="L14" s="38" t="s">
        <v>193</v>
      </c>
    </row>
    <row r="15" customFormat="false" ht="15" hidden="false" customHeight="false" outlineLevel="0" collapsed="false">
      <c r="A15" s="23" t="s">
        <v>107</v>
      </c>
      <c r="B15" s="24" t="s">
        <v>144</v>
      </c>
      <c r="C15" s="42" t="n">
        <v>1000</v>
      </c>
      <c r="D15" s="24"/>
      <c r="E15" s="24"/>
      <c r="F15" s="24"/>
      <c r="G15" s="25" t="n">
        <v>1000</v>
      </c>
      <c r="H15" s="24" t="n">
        <v>0</v>
      </c>
      <c r="I15" s="24" t="n">
        <v>0</v>
      </c>
      <c r="J15" s="24"/>
      <c r="K15" s="24"/>
      <c r="L15" s="24"/>
    </row>
    <row r="16" customFormat="false" ht="26.85" hidden="false" customHeight="false" outlineLevel="0" collapsed="false">
      <c r="A16" s="43"/>
      <c r="B16" s="43" t="s">
        <v>145</v>
      </c>
      <c r="C16" s="44" t="n">
        <f aca="false">SUM(C5:C15)</f>
        <v>10000</v>
      </c>
      <c r="G16" s="45" t="n">
        <f aca="false">SUM(G5:G15)</f>
        <v>23186.7814751027</v>
      </c>
      <c r="H16" s="46" t="n">
        <f aca="false">G16-C16</f>
        <v>13186.7814751027</v>
      </c>
      <c r="I16" s="47" t="n">
        <f aca="false">H16/C16</f>
        <v>1.31867814751027</v>
      </c>
    </row>
    <row r="18" customFormat="false" ht="16.15" hidden="false" customHeight="false" outlineLevel="0" collapsed="false">
      <c r="A18" s="48" t="s">
        <v>194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</row>
    <row r="19" customFormat="false" ht="15" hidden="false" customHeight="false" outlineLevel="0" collapsed="false">
      <c r="A19" s="2" t="s">
        <v>180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1" customFormat="false" ht="19.7" hidden="false" customHeight="false" outlineLevel="0" collapsed="false">
      <c r="A21" s="49" t="s">
        <v>147</v>
      </c>
      <c r="B21" s="49"/>
      <c r="C21" s="50" t="n">
        <f aca="false">C16</f>
        <v>10000</v>
      </c>
    </row>
    <row r="22" customFormat="false" ht="19.7" hidden="false" customHeight="false" outlineLevel="0" collapsed="false">
      <c r="A22" s="49" t="s">
        <v>148</v>
      </c>
      <c r="B22" s="49"/>
      <c r="C22" s="51" t="n">
        <f aca="false">G16</f>
        <v>23186.7814751027</v>
      </c>
    </row>
    <row r="23" customFormat="false" ht="19.7" hidden="false" customHeight="false" outlineLevel="0" collapsed="false">
      <c r="A23" s="49" t="s">
        <v>149</v>
      </c>
      <c r="B23" s="49"/>
      <c r="C23" s="52" t="n">
        <f aca="false">H16</f>
        <v>13186.7814751027</v>
      </c>
    </row>
    <row r="24" customFormat="false" ht="19.7" hidden="false" customHeight="false" outlineLevel="0" collapsed="false">
      <c r="A24" s="49" t="s">
        <v>150</v>
      </c>
      <c r="B24" s="49"/>
      <c r="C24" s="53" t="n">
        <f aca="false">I16</f>
        <v>1.31867814751027</v>
      </c>
    </row>
  </sheetData>
  <mergeCells count="8">
    <mergeCell ref="A1:L1"/>
    <mergeCell ref="A2:L2"/>
    <mergeCell ref="A18:L18"/>
    <mergeCell ref="A19:L19"/>
    <mergeCell ref="A21:B21"/>
    <mergeCell ref="A22:B22"/>
    <mergeCell ref="A23:B23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F3C7"/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6" min="3" style="0" width="10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25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3</v>
      </c>
      <c r="B4" s="3" t="s">
        <v>4</v>
      </c>
      <c r="C4" s="3" t="s">
        <v>118</v>
      </c>
      <c r="D4" s="3" t="s">
        <v>6</v>
      </c>
      <c r="E4" s="3" t="s">
        <v>119</v>
      </c>
      <c r="F4" s="3" t="s">
        <v>120</v>
      </c>
      <c r="G4" s="3" t="s">
        <v>121</v>
      </c>
      <c r="H4" s="3" t="s">
        <v>122</v>
      </c>
      <c r="I4" s="3" t="s">
        <v>123</v>
      </c>
      <c r="J4" s="3" t="s">
        <v>124</v>
      </c>
      <c r="K4" s="3" t="s">
        <v>125</v>
      </c>
      <c r="L4" s="3" t="s">
        <v>126</v>
      </c>
    </row>
    <row r="5" customFormat="false" ht="22.35" hidden="false" customHeight="false" outlineLevel="0" collapsed="false">
      <c r="A5" s="26" t="s">
        <v>22</v>
      </c>
      <c r="B5" s="30" t="s">
        <v>23</v>
      </c>
      <c r="C5" s="31" t="n">
        <v>1500</v>
      </c>
      <c r="D5" s="32" t="n">
        <v>0.72</v>
      </c>
      <c r="E5" s="60" t="n">
        <v>1.5</v>
      </c>
      <c r="F5" s="34" t="n">
        <f aca="false">C5/D5</f>
        <v>2083.33333333333</v>
      </c>
      <c r="G5" s="35" t="n">
        <f aca="false">F5*E5</f>
        <v>3125</v>
      </c>
      <c r="H5" s="36" t="n">
        <f aca="false">G5-C5</f>
        <v>1625</v>
      </c>
      <c r="I5" s="37" t="n">
        <f aca="false">H5/C5</f>
        <v>1.08333333333333</v>
      </c>
      <c r="J5" s="38" t="s">
        <v>25</v>
      </c>
      <c r="K5" s="39" t="s">
        <v>192</v>
      </c>
      <c r="L5" s="38" t="s">
        <v>197</v>
      </c>
    </row>
    <row r="6" customFormat="false" ht="23.85" hidden="false" customHeight="false" outlineLevel="0" collapsed="false">
      <c r="A6" s="26" t="s">
        <v>33</v>
      </c>
      <c r="B6" s="30" t="s">
        <v>34</v>
      </c>
      <c r="C6" s="31" t="n">
        <v>1500</v>
      </c>
      <c r="D6" s="40" t="n">
        <v>4.1</v>
      </c>
      <c r="E6" s="60" t="n">
        <v>16</v>
      </c>
      <c r="F6" s="34" t="n">
        <f aca="false">C6/D6</f>
        <v>365.853658536585</v>
      </c>
      <c r="G6" s="35" t="n">
        <f aca="false">F6*E6</f>
        <v>5853.65853658537</v>
      </c>
      <c r="H6" s="36" t="n">
        <f aca="false">G6-C6</f>
        <v>4353.65853658537</v>
      </c>
      <c r="I6" s="37" t="n">
        <f aca="false">H6/C6</f>
        <v>2.90243902439024</v>
      </c>
      <c r="J6" s="38" t="s">
        <v>36</v>
      </c>
      <c r="K6" s="39" t="s">
        <v>192</v>
      </c>
      <c r="L6" s="38" t="s">
        <v>198</v>
      </c>
    </row>
    <row r="7" customFormat="false" ht="22.35" hidden="false" customHeight="false" outlineLevel="0" collapsed="false">
      <c r="A7" s="26" t="s">
        <v>43</v>
      </c>
      <c r="B7" s="30" t="s">
        <v>44</v>
      </c>
      <c r="C7" s="31" t="n">
        <v>1000</v>
      </c>
      <c r="D7" s="40" t="n">
        <v>2.04</v>
      </c>
      <c r="E7" s="60" t="n">
        <v>4.2</v>
      </c>
      <c r="F7" s="34" t="n">
        <f aca="false">C7/D7</f>
        <v>490.196078431373</v>
      </c>
      <c r="G7" s="35" t="n">
        <f aca="false">F7*E7</f>
        <v>2058.82352941177</v>
      </c>
      <c r="H7" s="36" t="n">
        <f aca="false">G7-C7</f>
        <v>1058.82352941176</v>
      </c>
      <c r="I7" s="37" t="n">
        <f aca="false">H7/C7</f>
        <v>1.05882352941177</v>
      </c>
      <c r="J7" s="38" t="s">
        <v>45</v>
      </c>
      <c r="K7" s="39" t="s">
        <v>199</v>
      </c>
      <c r="L7" s="38" t="s">
        <v>200</v>
      </c>
    </row>
    <row r="8" customFormat="false" ht="22.35" hidden="false" customHeight="false" outlineLevel="0" collapsed="false">
      <c r="A8" s="26" t="s">
        <v>52</v>
      </c>
      <c r="B8" s="30" t="s">
        <v>53</v>
      </c>
      <c r="C8" s="31" t="n">
        <v>500</v>
      </c>
      <c r="D8" s="40" t="n">
        <v>33.78</v>
      </c>
      <c r="E8" s="60" t="n">
        <v>60</v>
      </c>
      <c r="F8" s="34" t="n">
        <f aca="false">C8/D8</f>
        <v>14.801657785672</v>
      </c>
      <c r="G8" s="35" t="n">
        <f aca="false">F8*E8</f>
        <v>888.09946714032</v>
      </c>
      <c r="H8" s="36" t="n">
        <f aca="false">G8-C8</f>
        <v>388.09946714032</v>
      </c>
      <c r="I8" s="37" t="n">
        <f aca="false">H8/C8</f>
        <v>0.776198934280639</v>
      </c>
      <c r="J8" s="38" t="s">
        <v>54</v>
      </c>
      <c r="K8" s="39" t="s">
        <v>192</v>
      </c>
      <c r="L8" s="38" t="s">
        <v>201</v>
      </c>
    </row>
    <row r="9" customFormat="false" ht="22.35" hidden="false" customHeight="false" outlineLevel="0" collapsed="false">
      <c r="A9" s="26" t="s">
        <v>59</v>
      </c>
      <c r="B9" s="30" t="s">
        <v>60</v>
      </c>
      <c r="C9" s="31" t="n">
        <v>1000</v>
      </c>
      <c r="D9" s="40" t="n">
        <v>2.4</v>
      </c>
      <c r="E9" s="60" t="n">
        <v>8.5</v>
      </c>
      <c r="F9" s="34" t="n">
        <f aca="false">C9/D9</f>
        <v>416.666666666667</v>
      </c>
      <c r="G9" s="35" t="n">
        <f aca="false">F9*E9</f>
        <v>3541.66666666667</v>
      </c>
      <c r="H9" s="36" t="n">
        <f aca="false">G9-C9</f>
        <v>2541.66666666667</v>
      </c>
      <c r="I9" s="37" t="n">
        <f aca="false">H9/C9</f>
        <v>2.54166666666667</v>
      </c>
      <c r="J9" s="38" t="s">
        <v>61</v>
      </c>
      <c r="K9" s="39" t="s">
        <v>192</v>
      </c>
      <c r="L9" s="38" t="s">
        <v>202</v>
      </c>
    </row>
    <row r="10" customFormat="false" ht="23.85" hidden="false" customHeight="false" outlineLevel="0" collapsed="false">
      <c r="A10" s="26" t="s">
        <v>67</v>
      </c>
      <c r="B10" s="30" t="s">
        <v>68</v>
      </c>
      <c r="C10" s="31" t="n">
        <v>1000</v>
      </c>
      <c r="D10" s="32" t="n">
        <v>0.28</v>
      </c>
      <c r="E10" s="61" t="n">
        <v>0.65</v>
      </c>
      <c r="F10" s="34" t="n">
        <f aca="false">C10/D10</f>
        <v>3571.42857142857</v>
      </c>
      <c r="G10" s="35" t="n">
        <f aca="false">F10*E10</f>
        <v>2321.42857142857</v>
      </c>
      <c r="H10" s="36" t="n">
        <f aca="false">G10-C10</f>
        <v>1321.42857142857</v>
      </c>
      <c r="I10" s="37" t="n">
        <f aca="false">H10/C10</f>
        <v>1.32142857142857</v>
      </c>
      <c r="J10" s="38" t="s">
        <v>69</v>
      </c>
      <c r="K10" s="39" t="s">
        <v>199</v>
      </c>
      <c r="L10" s="38" t="s">
        <v>203</v>
      </c>
    </row>
    <row r="11" customFormat="false" ht="22.35" hidden="false" customHeight="false" outlineLevel="0" collapsed="false">
      <c r="A11" s="26" t="s">
        <v>75</v>
      </c>
      <c r="B11" s="30" t="s">
        <v>76</v>
      </c>
      <c r="C11" s="31" t="n">
        <v>500</v>
      </c>
      <c r="D11" s="32" t="n">
        <v>0.13</v>
      </c>
      <c r="E11" s="61" t="n">
        <v>0.33</v>
      </c>
      <c r="F11" s="34" t="n">
        <f aca="false">C11/D11</f>
        <v>3846.15384615385</v>
      </c>
      <c r="G11" s="35" t="n">
        <f aca="false">F11*E11</f>
        <v>1269.23076923077</v>
      </c>
      <c r="H11" s="36" t="n">
        <f aca="false">G11-C11</f>
        <v>769.230769230769</v>
      </c>
      <c r="I11" s="37" t="n">
        <f aca="false">H11/C11</f>
        <v>1.53846153846154</v>
      </c>
      <c r="J11" s="38" t="s">
        <v>77</v>
      </c>
      <c r="K11" s="39" t="s">
        <v>199</v>
      </c>
      <c r="L11" s="38" t="s">
        <v>204</v>
      </c>
    </row>
    <row r="12" customFormat="false" ht="22.35" hidden="false" customHeight="false" outlineLevel="0" collapsed="false">
      <c r="A12" s="26" t="s">
        <v>82</v>
      </c>
      <c r="B12" s="30" t="s">
        <v>83</v>
      </c>
      <c r="C12" s="31" t="n">
        <v>500</v>
      </c>
      <c r="D12" s="32" t="n">
        <v>0.75</v>
      </c>
      <c r="E12" s="60" t="n">
        <v>1.5</v>
      </c>
      <c r="F12" s="34" t="n">
        <f aca="false">C12/D12</f>
        <v>666.666666666667</v>
      </c>
      <c r="G12" s="35" t="n">
        <f aca="false">F12*E12</f>
        <v>1000</v>
      </c>
      <c r="H12" s="36" t="n">
        <f aca="false">G12-C12</f>
        <v>500</v>
      </c>
      <c r="I12" s="37" t="n">
        <f aca="false">H12/C12</f>
        <v>1</v>
      </c>
      <c r="J12" s="38" t="s">
        <v>84</v>
      </c>
      <c r="K12" s="39" t="s">
        <v>199</v>
      </c>
      <c r="L12" s="38" t="s">
        <v>205</v>
      </c>
    </row>
    <row r="13" customFormat="false" ht="22.35" hidden="false" customHeight="false" outlineLevel="0" collapsed="false">
      <c r="A13" s="26" t="s">
        <v>91</v>
      </c>
      <c r="B13" s="30" t="s">
        <v>92</v>
      </c>
      <c r="C13" s="31" t="n">
        <v>750</v>
      </c>
      <c r="D13" s="32" t="n">
        <v>0.0485</v>
      </c>
      <c r="E13" s="61" t="n">
        <v>0.2</v>
      </c>
      <c r="F13" s="34" t="n">
        <f aca="false">C13/D13</f>
        <v>15463.9175257732</v>
      </c>
      <c r="G13" s="35" t="n">
        <f aca="false">F13*E13</f>
        <v>3092.78350515464</v>
      </c>
      <c r="H13" s="36" t="n">
        <f aca="false">G13-C13</f>
        <v>2342.78350515464</v>
      </c>
      <c r="I13" s="37" t="n">
        <f aca="false">H13/C13</f>
        <v>3.12371134020619</v>
      </c>
      <c r="J13" s="38" t="s">
        <v>93</v>
      </c>
      <c r="K13" s="39" t="s">
        <v>206</v>
      </c>
      <c r="L13" s="38" t="s">
        <v>207</v>
      </c>
    </row>
    <row r="14" customFormat="false" ht="23.85" hidden="false" customHeight="false" outlineLevel="0" collapsed="false">
      <c r="A14" s="26" t="s">
        <v>99</v>
      </c>
      <c r="B14" s="30" t="s">
        <v>100</v>
      </c>
      <c r="C14" s="31" t="n">
        <v>750</v>
      </c>
      <c r="D14" s="32" t="n">
        <v>0.1</v>
      </c>
      <c r="E14" s="61" t="n">
        <v>0.8</v>
      </c>
      <c r="F14" s="34" t="n">
        <f aca="false">C14/D14</f>
        <v>7500</v>
      </c>
      <c r="G14" s="35" t="n">
        <f aca="false">F14*E14</f>
        <v>6000</v>
      </c>
      <c r="H14" s="36" t="n">
        <f aca="false">G14-C14</f>
        <v>5250</v>
      </c>
      <c r="I14" s="37" t="n">
        <f aca="false">H14/C14</f>
        <v>7</v>
      </c>
      <c r="J14" s="38" t="s">
        <v>101</v>
      </c>
      <c r="K14" s="39" t="s">
        <v>208</v>
      </c>
      <c r="L14" s="38" t="s">
        <v>209</v>
      </c>
    </row>
    <row r="15" customFormat="false" ht="15" hidden="false" customHeight="false" outlineLevel="0" collapsed="false">
      <c r="A15" s="23" t="s">
        <v>107</v>
      </c>
      <c r="B15" s="24" t="s">
        <v>144</v>
      </c>
      <c r="C15" s="42" t="n">
        <v>1000</v>
      </c>
      <c r="D15" s="24"/>
      <c r="E15" s="24"/>
      <c r="F15" s="24"/>
      <c r="G15" s="25" t="n">
        <v>1000</v>
      </c>
      <c r="H15" s="24" t="n">
        <v>0</v>
      </c>
      <c r="I15" s="24" t="n">
        <v>0</v>
      </c>
      <c r="J15" s="24"/>
      <c r="K15" s="24"/>
      <c r="L15" s="24"/>
    </row>
    <row r="16" customFormat="false" ht="26.85" hidden="false" customHeight="false" outlineLevel="0" collapsed="false">
      <c r="A16" s="43"/>
      <c r="B16" s="43" t="s">
        <v>145</v>
      </c>
      <c r="C16" s="44" t="n">
        <f aca="false">SUM(C5:C15)</f>
        <v>10000</v>
      </c>
      <c r="G16" s="45" t="n">
        <f aca="false">SUM(G5:G15)</f>
        <v>30150.6910456181</v>
      </c>
      <c r="H16" s="46" t="n">
        <f aca="false">G16-C16</f>
        <v>20150.6910456181</v>
      </c>
      <c r="I16" s="47" t="n">
        <f aca="false">H16/C16</f>
        <v>2.01506910456181</v>
      </c>
    </row>
    <row r="18" customFormat="false" ht="16.15" hidden="false" customHeight="false" outlineLevel="0" collapsed="false">
      <c r="A18" s="48" t="s">
        <v>210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</row>
    <row r="19" customFormat="false" ht="15" hidden="false" customHeight="false" outlineLevel="0" collapsed="false">
      <c r="A19" s="2" t="s">
        <v>196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1" customFormat="false" ht="19.7" hidden="false" customHeight="false" outlineLevel="0" collapsed="false">
      <c r="A21" s="49" t="s">
        <v>147</v>
      </c>
      <c r="B21" s="49"/>
      <c r="C21" s="50" t="n">
        <f aca="false">C16</f>
        <v>10000</v>
      </c>
    </row>
    <row r="22" customFormat="false" ht="19.7" hidden="false" customHeight="false" outlineLevel="0" collapsed="false">
      <c r="A22" s="49" t="s">
        <v>148</v>
      </c>
      <c r="B22" s="49"/>
      <c r="C22" s="51" t="n">
        <f aca="false">G16</f>
        <v>30150.6910456181</v>
      </c>
    </row>
    <row r="23" customFormat="false" ht="19.7" hidden="false" customHeight="false" outlineLevel="0" collapsed="false">
      <c r="A23" s="49" t="s">
        <v>149</v>
      </c>
      <c r="B23" s="49"/>
      <c r="C23" s="52" t="n">
        <f aca="false">H16</f>
        <v>20150.6910456181</v>
      </c>
    </row>
    <row r="24" customFormat="false" ht="19.7" hidden="false" customHeight="false" outlineLevel="0" collapsed="false">
      <c r="A24" s="49" t="s">
        <v>150</v>
      </c>
      <c r="B24" s="49"/>
      <c r="C24" s="53" t="n">
        <f aca="false">I16</f>
        <v>2.01506910456181</v>
      </c>
    </row>
  </sheetData>
  <mergeCells count="8">
    <mergeCell ref="A1:L1"/>
    <mergeCell ref="A2:L2"/>
    <mergeCell ref="A18:L18"/>
    <mergeCell ref="A19:L19"/>
    <mergeCell ref="A21:B21"/>
    <mergeCell ref="A22:B22"/>
    <mergeCell ref="A23:B23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CACA"/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6" min="3" style="0" width="10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25"/>
    <col collapsed="false" customWidth="true" hidden="false" outlineLevel="0" max="11" min="11" style="0" width="20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211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212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3</v>
      </c>
      <c r="B4" s="3" t="s">
        <v>4</v>
      </c>
      <c r="C4" s="3" t="s">
        <v>118</v>
      </c>
      <c r="D4" s="3" t="s">
        <v>6</v>
      </c>
      <c r="E4" s="3" t="s">
        <v>119</v>
      </c>
      <c r="F4" s="3" t="s">
        <v>120</v>
      </c>
      <c r="G4" s="3" t="s">
        <v>121</v>
      </c>
      <c r="H4" s="3" t="s">
        <v>122</v>
      </c>
      <c r="I4" s="3" t="s">
        <v>123</v>
      </c>
      <c r="J4" s="3" t="s">
        <v>124</v>
      </c>
      <c r="K4" s="3" t="s">
        <v>125</v>
      </c>
      <c r="L4" s="3" t="s">
        <v>126</v>
      </c>
    </row>
    <row r="5" customFormat="false" ht="22.35" hidden="false" customHeight="false" outlineLevel="0" collapsed="false">
      <c r="A5" s="26" t="s">
        <v>22</v>
      </c>
      <c r="B5" s="30" t="s">
        <v>23</v>
      </c>
      <c r="C5" s="31" t="n">
        <v>1500</v>
      </c>
      <c r="D5" s="32" t="n">
        <v>0.72</v>
      </c>
      <c r="E5" s="62" t="n">
        <v>1.8</v>
      </c>
      <c r="F5" s="34" t="n">
        <f aca="false">C5/D5</f>
        <v>2083.33333333333</v>
      </c>
      <c r="G5" s="35" t="n">
        <f aca="false">F5*E5</f>
        <v>3750</v>
      </c>
      <c r="H5" s="36" t="n">
        <f aca="false">G5-C5</f>
        <v>2250</v>
      </c>
      <c r="I5" s="37" t="n">
        <f aca="false">H5/C5</f>
        <v>1.5</v>
      </c>
      <c r="J5" s="38" t="s">
        <v>25</v>
      </c>
      <c r="K5" s="39" t="s">
        <v>213</v>
      </c>
      <c r="L5" s="38" t="s">
        <v>214</v>
      </c>
    </row>
    <row r="6" customFormat="false" ht="23.85" hidden="false" customHeight="false" outlineLevel="0" collapsed="false">
      <c r="A6" s="26" t="s">
        <v>33</v>
      </c>
      <c r="B6" s="30" t="s">
        <v>34</v>
      </c>
      <c r="C6" s="31" t="n">
        <v>1500</v>
      </c>
      <c r="D6" s="40" t="n">
        <v>4.1</v>
      </c>
      <c r="E6" s="62" t="n">
        <v>20</v>
      </c>
      <c r="F6" s="34" t="n">
        <f aca="false">C6/D6</f>
        <v>365.853658536585</v>
      </c>
      <c r="G6" s="35" t="n">
        <f aca="false">F6*E6</f>
        <v>7317.07317073171</v>
      </c>
      <c r="H6" s="36" t="n">
        <f aca="false">G6-C6</f>
        <v>5817.07317073171</v>
      </c>
      <c r="I6" s="37" t="n">
        <f aca="false">H6/C6</f>
        <v>3.87804878048781</v>
      </c>
      <c r="J6" s="38" t="s">
        <v>36</v>
      </c>
      <c r="K6" s="39" t="s">
        <v>206</v>
      </c>
      <c r="L6" s="38" t="s">
        <v>215</v>
      </c>
    </row>
    <row r="7" customFormat="false" ht="22.35" hidden="false" customHeight="false" outlineLevel="0" collapsed="false">
      <c r="A7" s="26" t="s">
        <v>43</v>
      </c>
      <c r="B7" s="30" t="s">
        <v>44</v>
      </c>
      <c r="C7" s="31" t="n">
        <v>1000</v>
      </c>
      <c r="D7" s="40" t="n">
        <v>2.04</v>
      </c>
      <c r="E7" s="62" t="n">
        <v>4.5</v>
      </c>
      <c r="F7" s="34" t="n">
        <f aca="false">C7/D7</f>
        <v>490.196078431373</v>
      </c>
      <c r="G7" s="35" t="n">
        <f aca="false">F7*E7</f>
        <v>2205.88235294118</v>
      </c>
      <c r="H7" s="36" t="n">
        <f aca="false">G7-C7</f>
        <v>1205.88235294118</v>
      </c>
      <c r="I7" s="37" t="n">
        <f aca="false">H7/C7</f>
        <v>1.20588235294118</v>
      </c>
      <c r="J7" s="38" t="s">
        <v>45</v>
      </c>
      <c r="K7" s="39" t="s">
        <v>213</v>
      </c>
      <c r="L7" s="38" t="s">
        <v>216</v>
      </c>
    </row>
    <row r="8" customFormat="false" ht="15" hidden="false" customHeight="false" outlineLevel="0" collapsed="false">
      <c r="A8" s="26" t="s">
        <v>52</v>
      </c>
      <c r="B8" s="30" t="s">
        <v>53</v>
      </c>
      <c r="C8" s="31" t="n">
        <v>500</v>
      </c>
      <c r="D8" s="40" t="n">
        <v>33.78</v>
      </c>
      <c r="E8" s="62" t="n">
        <v>70</v>
      </c>
      <c r="F8" s="34" t="n">
        <f aca="false">C8/D8</f>
        <v>14.801657785672</v>
      </c>
      <c r="G8" s="35" t="n">
        <f aca="false">F8*E8</f>
        <v>1036.11604499704</v>
      </c>
      <c r="H8" s="36" t="n">
        <f aca="false">G8-C8</f>
        <v>536.11604499704</v>
      </c>
      <c r="I8" s="37" t="n">
        <f aca="false">H8/C8</f>
        <v>1.07223208999408</v>
      </c>
      <c r="J8" s="38" t="s">
        <v>54</v>
      </c>
      <c r="K8" s="39" t="s">
        <v>208</v>
      </c>
      <c r="L8" s="38" t="s">
        <v>217</v>
      </c>
    </row>
    <row r="9" customFormat="false" ht="22.35" hidden="false" customHeight="false" outlineLevel="0" collapsed="false">
      <c r="A9" s="26" t="s">
        <v>59</v>
      </c>
      <c r="B9" s="30" t="s">
        <v>60</v>
      </c>
      <c r="C9" s="31" t="n">
        <v>1000</v>
      </c>
      <c r="D9" s="40" t="n">
        <v>2.4</v>
      </c>
      <c r="E9" s="62" t="n">
        <v>10</v>
      </c>
      <c r="F9" s="34" t="n">
        <f aca="false">C9/D9</f>
        <v>416.666666666667</v>
      </c>
      <c r="G9" s="35" t="n">
        <f aca="false">F9*E9</f>
        <v>4166.66666666667</v>
      </c>
      <c r="H9" s="36" t="n">
        <f aca="false">G9-C9</f>
        <v>3166.66666666667</v>
      </c>
      <c r="I9" s="37" t="n">
        <f aca="false">H9/C9</f>
        <v>3.16666666666667</v>
      </c>
      <c r="J9" s="38" t="s">
        <v>61</v>
      </c>
      <c r="K9" s="39" t="s">
        <v>208</v>
      </c>
      <c r="L9" s="38" t="s">
        <v>218</v>
      </c>
    </row>
    <row r="10" customFormat="false" ht="23.85" hidden="false" customHeight="false" outlineLevel="0" collapsed="false">
      <c r="A10" s="26" t="s">
        <v>67</v>
      </c>
      <c r="B10" s="30" t="s">
        <v>68</v>
      </c>
      <c r="C10" s="31" t="n">
        <v>1000</v>
      </c>
      <c r="D10" s="32" t="n">
        <v>0.28</v>
      </c>
      <c r="E10" s="63" t="n">
        <v>0.75</v>
      </c>
      <c r="F10" s="34" t="n">
        <f aca="false">C10/D10</f>
        <v>3571.42857142857</v>
      </c>
      <c r="G10" s="35" t="n">
        <f aca="false">F10*E10</f>
        <v>2678.57142857143</v>
      </c>
      <c r="H10" s="36" t="n">
        <f aca="false">G10-C10</f>
        <v>1678.57142857143</v>
      </c>
      <c r="I10" s="37" t="n">
        <f aca="false">H10/C10</f>
        <v>1.67857142857143</v>
      </c>
      <c r="J10" s="38" t="s">
        <v>69</v>
      </c>
      <c r="K10" s="39" t="s">
        <v>213</v>
      </c>
      <c r="L10" s="38" t="s">
        <v>219</v>
      </c>
    </row>
    <row r="11" customFormat="false" ht="22.35" hidden="false" customHeight="false" outlineLevel="0" collapsed="false">
      <c r="A11" s="26" t="s">
        <v>75</v>
      </c>
      <c r="B11" s="30" t="s">
        <v>76</v>
      </c>
      <c r="C11" s="31" t="n">
        <v>500</v>
      </c>
      <c r="D11" s="32" t="n">
        <v>0.13</v>
      </c>
      <c r="E11" s="63" t="n">
        <v>0.38</v>
      </c>
      <c r="F11" s="34" t="n">
        <f aca="false">C11/D11</f>
        <v>3846.15384615385</v>
      </c>
      <c r="G11" s="35" t="n">
        <f aca="false">F11*E11</f>
        <v>1461.53846153846</v>
      </c>
      <c r="H11" s="36" t="n">
        <f aca="false">G11-C11</f>
        <v>961.538461538462</v>
      </c>
      <c r="I11" s="37" t="n">
        <f aca="false">H11/C11</f>
        <v>1.92307692307692</v>
      </c>
      <c r="J11" s="38" t="s">
        <v>77</v>
      </c>
      <c r="K11" s="39" t="s">
        <v>213</v>
      </c>
      <c r="L11" s="38" t="s">
        <v>220</v>
      </c>
    </row>
    <row r="12" customFormat="false" ht="22.35" hidden="false" customHeight="false" outlineLevel="0" collapsed="false">
      <c r="A12" s="26" t="s">
        <v>82</v>
      </c>
      <c r="B12" s="30" t="s">
        <v>83</v>
      </c>
      <c r="C12" s="31" t="n">
        <v>500</v>
      </c>
      <c r="D12" s="32" t="n">
        <v>0.75</v>
      </c>
      <c r="E12" s="62" t="n">
        <v>1.8</v>
      </c>
      <c r="F12" s="34" t="n">
        <f aca="false">C12/D12</f>
        <v>666.666666666667</v>
      </c>
      <c r="G12" s="35" t="n">
        <f aca="false">F12*E12</f>
        <v>1200</v>
      </c>
      <c r="H12" s="36" t="n">
        <f aca="false">G12-C12</f>
        <v>700</v>
      </c>
      <c r="I12" s="37" t="n">
        <f aca="false">H12/C12</f>
        <v>1.4</v>
      </c>
      <c r="J12" s="38" t="s">
        <v>84</v>
      </c>
      <c r="K12" s="39" t="s">
        <v>213</v>
      </c>
      <c r="L12" s="38" t="s">
        <v>221</v>
      </c>
    </row>
    <row r="13" customFormat="false" ht="22.35" hidden="false" customHeight="false" outlineLevel="0" collapsed="false">
      <c r="A13" s="26" t="s">
        <v>91</v>
      </c>
      <c r="B13" s="30" t="s">
        <v>92</v>
      </c>
      <c r="C13" s="31" t="n">
        <v>750</v>
      </c>
      <c r="D13" s="32" t="n">
        <v>0.0485</v>
      </c>
      <c r="E13" s="63" t="n">
        <v>0.25</v>
      </c>
      <c r="F13" s="34" t="n">
        <f aca="false">C13/D13</f>
        <v>15463.9175257732</v>
      </c>
      <c r="G13" s="35" t="n">
        <f aca="false">F13*E13</f>
        <v>3865.9793814433</v>
      </c>
      <c r="H13" s="36" t="n">
        <f aca="false">G13-C13</f>
        <v>3115.9793814433</v>
      </c>
      <c r="I13" s="37" t="n">
        <f aca="false">H13/C13</f>
        <v>4.15463917525773</v>
      </c>
      <c r="J13" s="38" t="s">
        <v>93</v>
      </c>
      <c r="K13" s="39" t="s">
        <v>222</v>
      </c>
      <c r="L13" s="38" t="s">
        <v>223</v>
      </c>
    </row>
    <row r="14" customFormat="false" ht="23.85" hidden="false" customHeight="false" outlineLevel="0" collapsed="false">
      <c r="A14" s="26" t="s">
        <v>99</v>
      </c>
      <c r="B14" s="30" t="s">
        <v>100</v>
      </c>
      <c r="C14" s="31" t="n">
        <v>750</v>
      </c>
      <c r="D14" s="32" t="n">
        <v>0.1</v>
      </c>
      <c r="E14" s="62" t="n">
        <v>1</v>
      </c>
      <c r="F14" s="34" t="n">
        <f aca="false">C14/D14</f>
        <v>7500</v>
      </c>
      <c r="G14" s="35" t="n">
        <f aca="false">F14*E14</f>
        <v>7500</v>
      </c>
      <c r="H14" s="36" t="n">
        <f aca="false">G14-C14</f>
        <v>6750</v>
      </c>
      <c r="I14" s="37" t="n">
        <f aca="false">H14/C14</f>
        <v>9</v>
      </c>
      <c r="J14" s="38" t="s">
        <v>101</v>
      </c>
      <c r="K14" s="39" t="s">
        <v>222</v>
      </c>
      <c r="L14" s="38" t="s">
        <v>224</v>
      </c>
    </row>
    <row r="15" customFormat="false" ht="15" hidden="false" customHeight="false" outlineLevel="0" collapsed="false">
      <c r="A15" s="23" t="s">
        <v>107</v>
      </c>
      <c r="B15" s="24" t="s">
        <v>144</v>
      </c>
      <c r="C15" s="42" t="n">
        <v>1000</v>
      </c>
      <c r="D15" s="24"/>
      <c r="E15" s="24"/>
      <c r="F15" s="24"/>
      <c r="G15" s="25" t="n">
        <v>1000</v>
      </c>
      <c r="H15" s="24" t="n">
        <v>0</v>
      </c>
      <c r="I15" s="24" t="n">
        <v>0</v>
      </c>
      <c r="J15" s="24"/>
      <c r="K15" s="24"/>
      <c r="L15" s="24"/>
    </row>
    <row r="16" customFormat="false" ht="26.85" hidden="false" customHeight="false" outlineLevel="0" collapsed="false">
      <c r="A16" s="43"/>
      <c r="B16" s="43" t="s">
        <v>145</v>
      </c>
      <c r="C16" s="44" t="n">
        <f aca="false">SUM(C5:C15)</f>
        <v>10000</v>
      </c>
      <c r="G16" s="45" t="n">
        <f aca="false">SUM(G5:G15)</f>
        <v>36181.8275068898</v>
      </c>
      <c r="H16" s="46" t="n">
        <f aca="false">G16-C16</f>
        <v>26181.8275068898</v>
      </c>
      <c r="I16" s="47" t="n">
        <f aca="false">H16/C16</f>
        <v>2.61818275068898</v>
      </c>
    </row>
    <row r="18" customFormat="false" ht="16.15" hidden="false" customHeight="false" outlineLevel="0" collapsed="false">
      <c r="A18" s="48" t="s">
        <v>225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</row>
    <row r="19" customFormat="false" ht="15" hidden="false" customHeight="false" outlineLevel="0" collapsed="false">
      <c r="A19" s="2" t="s">
        <v>212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1" customFormat="false" ht="19.7" hidden="false" customHeight="false" outlineLevel="0" collapsed="false">
      <c r="A21" s="49" t="s">
        <v>147</v>
      </c>
      <c r="B21" s="49"/>
      <c r="C21" s="50" t="n">
        <f aca="false">C16</f>
        <v>10000</v>
      </c>
    </row>
    <row r="22" customFormat="false" ht="19.7" hidden="false" customHeight="false" outlineLevel="0" collapsed="false">
      <c r="A22" s="49" t="s">
        <v>148</v>
      </c>
      <c r="B22" s="49"/>
      <c r="C22" s="51" t="n">
        <f aca="false">G16</f>
        <v>36181.8275068898</v>
      </c>
    </row>
    <row r="23" customFormat="false" ht="19.7" hidden="false" customHeight="false" outlineLevel="0" collapsed="false">
      <c r="A23" s="49" t="s">
        <v>149</v>
      </c>
      <c r="B23" s="49"/>
      <c r="C23" s="52" t="n">
        <f aca="false">H16</f>
        <v>26181.8275068898</v>
      </c>
    </row>
    <row r="24" customFormat="false" ht="19.7" hidden="false" customHeight="false" outlineLevel="0" collapsed="false">
      <c r="A24" s="49" t="s">
        <v>150</v>
      </c>
      <c r="B24" s="49"/>
      <c r="C24" s="53" t="n">
        <f aca="false">I16</f>
        <v>2.61818275068898</v>
      </c>
    </row>
  </sheetData>
  <mergeCells count="8">
    <mergeCell ref="A1:L1"/>
    <mergeCell ref="A2:L2"/>
    <mergeCell ref="A18:L18"/>
    <mergeCell ref="A19:L19"/>
    <mergeCell ref="A21:B21"/>
    <mergeCell ref="A22:B22"/>
    <mergeCell ref="A23:B23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843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226</v>
      </c>
      <c r="B1" s="1"/>
      <c r="C1" s="1"/>
      <c r="D1" s="1"/>
      <c r="E1" s="1"/>
      <c r="F1" s="1"/>
      <c r="G1" s="1"/>
      <c r="H1" s="1"/>
    </row>
    <row r="3" customFormat="false" ht="23.85" hidden="false" customHeight="false" outlineLevel="0" collapsed="false">
      <c r="A3" s="3" t="s">
        <v>227</v>
      </c>
      <c r="B3" s="3" t="s">
        <v>228</v>
      </c>
      <c r="C3" s="3" t="s">
        <v>229</v>
      </c>
      <c r="D3" s="3" t="s">
        <v>230</v>
      </c>
      <c r="E3" s="3" t="s">
        <v>231</v>
      </c>
      <c r="F3" s="3" t="s">
        <v>123</v>
      </c>
      <c r="G3" s="3" t="s">
        <v>232</v>
      </c>
      <c r="H3" s="3" t="s">
        <v>233</v>
      </c>
    </row>
    <row r="4" customFormat="false" ht="23.85" hidden="false" customHeight="false" outlineLevel="0" collapsed="false">
      <c r="A4" s="64" t="s">
        <v>234</v>
      </c>
      <c r="B4" s="65" t="s">
        <v>235</v>
      </c>
      <c r="C4" s="66" t="n">
        <f aca="false">SUM('BEAR CASE'!C5:C15)</f>
        <v>10000</v>
      </c>
      <c r="D4" s="66" t="n">
        <f aca="false">'BEAR CASE'!G16</f>
        <v>7344.27897083543</v>
      </c>
      <c r="E4" s="66" t="n">
        <f aca="false">'BEAR CASE'!H16</f>
        <v>-2655.72102916457</v>
      </c>
      <c r="F4" s="67" t="n">
        <f aca="false">'BEAR CASE'!I16</f>
        <v>-0.265572102916457</v>
      </c>
      <c r="G4" s="65" t="s">
        <v>236</v>
      </c>
      <c r="H4" s="65" t="s">
        <v>237</v>
      </c>
    </row>
    <row r="5" customFormat="false" ht="15" hidden="false" customHeight="false" outlineLevel="0" collapsed="false">
      <c r="A5" s="68" t="s">
        <v>238</v>
      </c>
      <c r="B5" s="69" t="s">
        <v>239</v>
      </c>
      <c r="C5" s="70" t="n">
        <f aca="false">SUM('BASE CASE'!C5:C15)</f>
        <v>10000</v>
      </c>
      <c r="D5" s="70" t="n">
        <f aca="false">'BASE CASE'!G16</f>
        <v>14878.603788935</v>
      </c>
      <c r="E5" s="70" t="n">
        <f aca="false">'BASE CASE'!H16</f>
        <v>4878.60378893505</v>
      </c>
      <c r="F5" s="71" t="n">
        <f aca="false">'BASE CASE'!I16</f>
        <v>0.487860378893505</v>
      </c>
      <c r="G5" s="69" t="s">
        <v>240</v>
      </c>
      <c r="H5" s="69" t="s">
        <v>241</v>
      </c>
    </row>
    <row r="6" customFormat="false" ht="15" hidden="false" customHeight="false" outlineLevel="0" collapsed="false">
      <c r="A6" s="4" t="s">
        <v>242</v>
      </c>
      <c r="B6" s="5" t="s">
        <v>243</v>
      </c>
      <c r="C6" s="72" t="n">
        <f aca="false">SUM('REALISTIC MOONSHOT'!C5:C15)</f>
        <v>10000</v>
      </c>
      <c r="D6" s="72" t="n">
        <f aca="false">'REALISTIC MOONSHOT'!G16</f>
        <v>16727.1089197924</v>
      </c>
      <c r="E6" s="72" t="n">
        <f aca="false">'REALISTIC MOONSHOT'!H16</f>
        <v>6727.10891979238</v>
      </c>
      <c r="F6" s="73" t="n">
        <f aca="false">'REALISTIC MOONSHOT'!I16</f>
        <v>0.672710891979238</v>
      </c>
      <c r="G6" s="5" t="s">
        <v>244</v>
      </c>
      <c r="H6" s="5" t="s">
        <v>245</v>
      </c>
    </row>
    <row r="7" customFormat="false" ht="15" hidden="false" customHeight="false" outlineLevel="0" collapsed="false">
      <c r="A7" s="10" t="s">
        <v>246</v>
      </c>
      <c r="B7" s="11" t="s">
        <v>247</v>
      </c>
      <c r="C7" s="74" t="n">
        <f aca="false">SUM('OPTIMISTIC MOONSHOT'!C5:C15)</f>
        <v>10000</v>
      </c>
      <c r="D7" s="74" t="n">
        <f aca="false">'OPTIMISTIC MOONSHOT'!G16</f>
        <v>23186.7814751027</v>
      </c>
      <c r="E7" s="74" t="n">
        <f aca="false">'OPTIMISTIC MOONSHOT'!H16</f>
        <v>13186.7814751027</v>
      </c>
      <c r="F7" s="75" t="n">
        <f aca="false">'OPTIMISTIC MOONSHOT'!I16</f>
        <v>1.31867814751027</v>
      </c>
      <c r="G7" s="11" t="s">
        <v>248</v>
      </c>
      <c r="H7" s="11" t="s">
        <v>39</v>
      </c>
    </row>
    <row r="8" customFormat="false" ht="15" hidden="false" customHeight="false" outlineLevel="0" collapsed="false">
      <c r="A8" s="16" t="s">
        <v>249</v>
      </c>
      <c r="B8" s="17" t="s">
        <v>250</v>
      </c>
      <c r="C8" s="76" t="n">
        <f aca="false">SUM('EVERYTHING HITS'!C5:C15)</f>
        <v>10000</v>
      </c>
      <c r="D8" s="76" t="n">
        <f aca="false">'EVERYTHING HITS'!G16</f>
        <v>30150.6910456181</v>
      </c>
      <c r="E8" s="76" t="n">
        <f aca="false">'EVERYTHING HITS'!H16</f>
        <v>20150.6910456181</v>
      </c>
      <c r="F8" s="77" t="n">
        <f aca="false">'EVERYTHING HITS'!I16</f>
        <v>2.01506910456181</v>
      </c>
      <c r="G8" s="17" t="s">
        <v>251</v>
      </c>
      <c r="H8" s="17" t="s">
        <v>252</v>
      </c>
    </row>
    <row r="9" customFormat="false" ht="15" hidden="false" customHeight="false" outlineLevel="0" collapsed="false">
      <c r="A9" s="78" t="s">
        <v>253</v>
      </c>
      <c r="B9" s="79" t="s">
        <v>254</v>
      </c>
      <c r="C9" s="80" t="n">
        <f aca="false">SUM('ABSOLUTE CEILING'!C5:C15)</f>
        <v>10000</v>
      </c>
      <c r="D9" s="80" t="n">
        <f aca="false">'ABSOLUTE CEILING'!G16</f>
        <v>36181.8275068898</v>
      </c>
      <c r="E9" s="80" t="n">
        <f aca="false">'ABSOLUTE CEILING'!H16</f>
        <v>26181.8275068898</v>
      </c>
      <c r="F9" s="81" t="n">
        <f aca="false">'ABSOLUTE CEILING'!I16</f>
        <v>2.61818275068898</v>
      </c>
      <c r="G9" s="79" t="s">
        <v>255</v>
      </c>
      <c r="H9" s="79" t="s">
        <v>38</v>
      </c>
    </row>
    <row r="11" customFormat="false" ht="15" hidden="false" customHeight="false" outlineLevel="0" collapsed="false">
      <c r="A11" s="82" t="s">
        <v>256</v>
      </c>
      <c r="B11" s="82"/>
      <c r="C11" s="82"/>
      <c r="D11" s="82"/>
      <c r="E11" s="82"/>
      <c r="F11" s="82"/>
      <c r="G11" s="82"/>
      <c r="H11" s="82"/>
    </row>
    <row r="13" customFormat="false" ht="15" hidden="false" customHeight="false" outlineLevel="0" collapsed="false">
      <c r="A13" s="83" t="s">
        <v>257</v>
      </c>
      <c r="B13" s="83"/>
      <c r="C13" s="83"/>
      <c r="D13" s="83"/>
      <c r="E13" s="83"/>
      <c r="F13" s="83"/>
      <c r="G13" s="83"/>
      <c r="H13" s="83"/>
    </row>
    <row r="14" customFormat="false" ht="15" hidden="false" customHeight="false" outlineLevel="0" collapsed="false">
      <c r="A14" s="84" t="s">
        <v>258</v>
      </c>
      <c r="B14" s="84"/>
      <c r="C14" s="84"/>
      <c r="D14" s="84"/>
      <c r="E14" s="84"/>
      <c r="F14" s="84"/>
      <c r="G14" s="84"/>
      <c r="H14" s="84"/>
    </row>
  </sheetData>
  <mergeCells count="4">
    <mergeCell ref="A1:H1"/>
    <mergeCell ref="A11:H11"/>
    <mergeCell ref="A13:H13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2026-03-30T08:33:11Z</dcterms:created>
  <dc:creator>openpyxl</dc:creator>
  <dc:description/>
  <dc:language>en-US</dc:language>
  <cp:lastModifiedBy/>
  <dcterms:modified xsi:type="dcterms:W3CDTF">2026-03-30T08:33:11Z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