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PP Portfoli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£#,##0"/>
    <numFmt numFmtId="165" formatCode="£#,##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B0C4DE"/>
      <sz val="10"/>
    </font>
    <font>
      <name val="Arial"/>
      <charset val="1"/>
      <family val="0"/>
      <color rgb="FFC0D0E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D47A1"/>
      <sz val="10"/>
    </font>
    <font>
      <name val="Arial"/>
      <charset val="1"/>
      <family val="0"/>
      <b val="1"/>
      <color rgb="FF1B2A4A"/>
      <sz val="10"/>
    </font>
    <font>
      <name val="Arial"/>
      <charset val="1"/>
      <family val="0"/>
      <b val="1"/>
      <color rgb="FF2E7D32"/>
      <sz val="10"/>
    </font>
    <font>
      <name val="Arial"/>
      <charset val="1"/>
      <family val="0"/>
      <color rgb="FF1B2A4A"/>
      <sz val="10"/>
    </font>
    <font>
      <name val="Arial"/>
      <charset val="1"/>
      <family val="0"/>
      <b val="1"/>
      <color rgb="FF1565C0"/>
      <sz val="10"/>
    </font>
    <font>
      <name val="Arial"/>
      <charset val="1"/>
      <family val="0"/>
      <b val="1"/>
      <color rgb="FF5C6BC0"/>
      <sz val="9"/>
    </font>
    <font>
      <name val="Arial"/>
      <charset val="1"/>
      <family val="0"/>
      <color rgb="FF37474F"/>
      <sz val="9"/>
    </font>
    <font>
      <name val="Arial"/>
      <charset val="1"/>
      <family val="0"/>
      <b val="1"/>
      <color rgb="FF1B2A4A"/>
      <sz val="12"/>
    </font>
    <font>
      <name val="Arial"/>
      <charset val="1"/>
      <family val="0"/>
      <b val="1"/>
      <color rgb="FF546E7A"/>
      <sz val="10"/>
    </font>
    <font>
      <name val="Arial"/>
      <charset val="1"/>
      <family val="0"/>
      <b val="1"/>
      <color rgb="FF2E7D32"/>
      <sz val="12"/>
    </font>
    <font>
      <name val="Arial"/>
      <charset val="1"/>
      <family val="0"/>
      <b val="1"/>
      <color rgb="FF1B2A4A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0D1B2A"/>
        <bgColor rgb="FF1B2A4A"/>
      </patternFill>
    </fill>
    <fill>
      <patternFill patternType="solid">
        <fgColor rgb="FF1B3A5C"/>
        <bgColor rgb="FF1B2A4A"/>
      </patternFill>
    </fill>
    <fill>
      <patternFill patternType="solid">
        <fgColor rgb="FF1B2A4A"/>
        <bgColor rgb="FF1B3A5C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F7F9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8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general" vertical="center" wrapText="1"/>
    </xf>
    <xf numFmtId="164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general" vertical="center" wrapText="1"/>
    </xf>
    <xf numFmtId="164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164" fontId="17" fillId="7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general" vertical="center" wrapText="1"/>
    </xf>
    <xf numFmtId="164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general" vertical="center" wrapText="1"/>
    </xf>
    <xf numFmtId="164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164" fontId="17" fillId="7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general" vertical="bottom"/>
    </xf>
    <xf numFmtId="165" fontId="17" fillId="7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546E7A"/>
      <rgbColor rgb="FF9999FF"/>
      <rgbColor rgb="FF993366"/>
      <rgbColor rgb="FFF7F9FC"/>
      <rgbColor rgb="FFE8EDF5"/>
      <rgbColor rgb="FF660066"/>
      <rgbColor rgb="FFFF8080"/>
      <rgbColor rgb="FF1565C0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C0D0E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C0"/>
      <rgbColor rgb="FF969696"/>
      <rgbColor rgb="FF1B3A5C"/>
      <rgbColor rgb="FF2E7D32"/>
      <rgbColor rgb="FF0D1B2A"/>
      <rgbColor rgb="FF37474F"/>
      <rgbColor rgb="FF993300"/>
      <rgbColor rgb="FF993366"/>
      <rgbColor rgb="FF0D47A1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32" customWidth="1" style="23" min="2" max="2"/>
    <col width="18" customWidth="1" style="23" min="3" max="3"/>
    <col width="22" customWidth="1" style="23" min="4" max="5"/>
    <col width="18" customWidth="1" style="23" min="6" max="6"/>
    <col width="16" customWidth="1" style="23" min="7" max="7"/>
    <col width="60" customWidth="1" style="23" min="8" max="8"/>
  </cols>
  <sheetData>
    <row r="1" ht="39.75" customHeight="1" s="24">
      <c r="A1" s="25" t="inlineStr">
        <is>
          <t>🏰 THE SIPP MATRIX: "The Pension Fortress" — Long-Term Compounding</t>
        </is>
      </c>
    </row>
    <row r="2" ht="24.75" customHeight="1" s="24">
      <c r="A2" s="26" t="inlineStr">
        <is>
          <t>Budget: £20,372  |  Account: Self-Invested Personal Pension  |  Platform: Freetrade</t>
        </is>
      </c>
    </row>
    <row r="3" ht="34.5" customHeight="1" s="24">
      <c r="A3" s="27" t="inlineStr">
        <is>
          <t>Strategy: Tax-relieved pension wrapper. ETF-heavy for global diversification + income trusts for quarterly cash flow. 25-year compounding horizon.</t>
        </is>
      </c>
    </row>
    <row r="4" ht="7.5" customHeight="1" s="24"/>
    <row r="5" ht="36" customHeight="1" s="24">
      <c r="A5" s="28" t="inlineStr">
        <is>
          <t>Ticker</t>
        </is>
      </c>
      <c r="B5" s="28" t="inlineStr">
        <is>
          <t>Holding Name</t>
        </is>
      </c>
      <c r="C5" s="28" t="inlineStr">
        <is>
          <t>Initial Investment (£)</t>
        </is>
      </c>
      <c r="D5" s="28" t="inlineStr">
        <is>
          <t>Historical Return
(Annualized)</t>
        </is>
      </c>
      <c r="E5" s="28" t="inlineStr">
        <is>
          <t>Hypothetical 25-Yr
Projection (£)</t>
        </is>
      </c>
      <c r="F5" s="28" t="inlineStr">
        <is>
          <t>Est. Yield / Return</t>
        </is>
      </c>
      <c r="G5" s="28" t="inlineStr">
        <is>
          <t>Role</t>
        </is>
      </c>
      <c r="H5" s="28" t="inlineStr">
        <is>
          <t>Primary Driver (The "Why")</t>
        </is>
      </c>
    </row>
    <row r="6" ht="51.75" customHeight="1" s="24">
      <c r="A6" s="29" t="inlineStr">
        <is>
          <t>IGLG</t>
        </is>
      </c>
      <c r="B6" s="30" t="inlineStr">
        <is>
          <t>iShares Physical Gold GBP</t>
        </is>
      </c>
      <c r="C6" s="31" t="n">
        <v>1015</v>
      </c>
      <c r="D6" s="32" t="inlineStr">
        <is>
          <t>9.0% (5-Yr)</t>
        </is>
      </c>
      <c r="E6" s="33" t="n">
        <v>8752</v>
      </c>
      <c r="F6" s="32" t="inlineStr">
        <is>
          <t>N/A (Commodity)</t>
        </is>
      </c>
      <c r="G6" s="34" t="inlineStr">
        <is>
          <t>Gold Shield</t>
        </is>
      </c>
      <c r="H6" s="35" t="inlineStr">
        <is>
          <t>Physical gold GBP-hedged. Inflation hedge &amp; safe haven. Zero counterparty risk on physical backing.</t>
        </is>
      </c>
    </row>
    <row r="7" ht="51.75" customHeight="1" s="24">
      <c r="A7" s="36" t="inlineStr">
        <is>
          <t>AUCP</t>
        </is>
      </c>
      <c r="B7" s="37" t="inlineStr">
        <is>
          <t>Amundi Gold Mining ETF</t>
        </is>
      </c>
      <c r="C7" s="38" t="n">
        <v>1012</v>
      </c>
      <c r="D7" s="39" t="inlineStr">
        <is>
          <t>11.5% (5-Yr)</t>
        </is>
      </c>
      <c r="E7" s="40" t="n">
        <v>15383</v>
      </c>
      <c r="F7" s="39" t="inlineStr">
        <is>
          <t>~1.5% (Variable)</t>
        </is>
      </c>
      <c r="G7" s="41" t="inlineStr">
        <is>
          <t>Gold Mining</t>
        </is>
      </c>
      <c r="H7" s="42" t="inlineStr">
        <is>
          <t>Leveraged exposure to gold price via miners. Operating leverage amplifies gold moves. Global miners basket.</t>
        </is>
      </c>
    </row>
    <row r="8" ht="51.75" customHeight="1" s="24">
      <c r="A8" s="29" t="inlineStr">
        <is>
          <t>BATG</t>
        </is>
      </c>
      <c r="B8" s="30" t="inlineStr">
        <is>
          <t>L&amp;G Battery Value-Chain ETF</t>
        </is>
      </c>
      <c r="C8" s="31" t="n">
        <v>1006</v>
      </c>
      <c r="D8" s="32" t="inlineStr">
        <is>
          <t>14.5% (3-Yr)</t>
        </is>
      </c>
      <c r="E8" s="33" t="n">
        <v>29699</v>
      </c>
      <c r="F8" s="32" t="inlineStr">
        <is>
          <t>Accumulating</t>
        </is>
      </c>
      <c r="G8" s="34" t="inlineStr">
        <is>
          <t>Battery Tech</t>
        </is>
      </c>
      <c r="H8" s="35" t="inlineStr">
        <is>
          <t>Full battery value chain: lithium miners to EV makers. Capturing electrification megatrend across supply chain.</t>
        </is>
      </c>
    </row>
    <row r="9" ht="51.75" customHeight="1" s="24">
      <c r="A9" s="36" t="inlineStr">
        <is>
          <t>ELGJG</t>
        </is>
      </c>
      <c r="B9" s="37" t="inlineStr">
        <is>
          <t>L&amp;G Japan Equity ETF</t>
        </is>
      </c>
      <c r="C9" s="38" t="n">
        <v>995</v>
      </c>
      <c r="D9" s="39" t="inlineStr">
        <is>
          <t>8.5% (5-Yr)</t>
        </is>
      </c>
      <c r="E9" s="40" t="n">
        <v>7648</v>
      </c>
      <c r="F9" s="39" t="inlineStr">
        <is>
          <t>~1.8%</t>
        </is>
      </c>
      <c r="G9" s="41" t="inlineStr">
        <is>
          <t>Japan Equity</t>
        </is>
      </c>
      <c r="H9" s="42" t="inlineStr">
        <is>
          <t>Japanese equity exposure. Benefiting from corporate governance reforms &amp; yen weakness. Diversified developed market.</t>
        </is>
      </c>
    </row>
    <row r="10" ht="51.75" customHeight="1" s="24">
      <c r="A10" s="29" t="inlineStr">
        <is>
          <t>EAIAG</t>
        </is>
      </c>
      <c r="B10" s="30" t="inlineStr">
        <is>
          <t>L&amp;G Artificial Intelligence ETF</t>
        </is>
      </c>
      <c r="C10" s="31" t="n">
        <v>993</v>
      </c>
      <c r="D10" s="32" t="inlineStr">
        <is>
          <t>20.5% (3-Yr)</t>
        </is>
      </c>
      <c r="E10" s="33" t="n">
        <v>105105</v>
      </c>
      <c r="F10" s="32" t="inlineStr">
        <is>
          <t>Accumulating</t>
        </is>
      </c>
      <c r="G10" s="34" t="inlineStr">
        <is>
          <t>AI Core</t>
        </is>
      </c>
      <c r="H10" s="35" t="inlineStr">
        <is>
          <t>Pure AI sector ETF. Captures the full AI stack from chips to cloud to data analytics. Core growth engine.</t>
        </is>
      </c>
    </row>
    <row r="11" ht="51.75" customHeight="1" s="24">
      <c r="A11" s="36" t="inlineStr">
        <is>
          <t>LGGG</t>
        </is>
      </c>
      <c r="B11" s="37" t="inlineStr">
        <is>
          <t>L&amp;G Global Equity ETF</t>
        </is>
      </c>
      <c r="C11" s="38" t="n">
        <v>988</v>
      </c>
      <c r="D11" s="39" t="inlineStr">
        <is>
          <t>11.5% (5-Yr)</t>
        </is>
      </c>
      <c r="E11" s="40" t="n">
        <v>15019</v>
      </c>
      <c r="F11" s="39" t="inlineStr">
        <is>
          <t>~1.6%</t>
        </is>
      </c>
      <c r="G11" s="41" t="inlineStr">
        <is>
          <t>Global Equity</t>
        </is>
      </c>
      <c r="H11" s="42" t="inlineStr">
        <is>
          <t>Broad global equity diversification. Core portfolio stabiliser. Tracks developed world markets.</t>
        </is>
      </c>
    </row>
    <row r="12" ht="51.75" customHeight="1" s="24">
      <c r="A12" s="29" t="inlineStr">
        <is>
          <t>BCHS</t>
        </is>
      </c>
      <c r="B12" s="30" t="inlineStr">
        <is>
          <t>Invesco Global Blockchain ETF</t>
        </is>
      </c>
      <c r="C12" s="31" t="n">
        <v>972</v>
      </c>
      <c r="D12" s="32" t="inlineStr">
        <is>
          <t>55.0% (3-Yr)</t>
        </is>
      </c>
      <c r="E12" s="33" t="n">
        <v>55713279</v>
      </c>
      <c r="F12" s="32" t="inlineStr">
        <is>
          <t>Accumulating</t>
        </is>
      </c>
      <c r="G12" s="34" t="inlineStr">
        <is>
          <t>Blockchain Rails</t>
        </is>
      </c>
      <c r="H12" s="35" t="inlineStr">
        <is>
          <t>Global blockchain infrastructure. Extremely high historic return driven by crypto bull cycle. High volatility.</t>
        </is>
      </c>
    </row>
    <row r="13" ht="51.75" customHeight="1" s="24">
      <c r="A13" s="36" t="inlineStr">
        <is>
          <t>VWRP</t>
        </is>
      </c>
      <c r="B13" s="37" t="inlineStr">
        <is>
          <t>Vanguard FTSE All-World ETF</t>
        </is>
      </c>
      <c r="C13" s="38" t="n">
        <v>969</v>
      </c>
      <c r="D13" s="39" t="inlineStr">
        <is>
          <t>11.2% (5-Yr)</t>
        </is>
      </c>
      <c r="E13" s="40" t="n">
        <v>13770</v>
      </c>
      <c r="F13" s="39" t="inlineStr">
        <is>
          <t>~1.7%</t>
        </is>
      </c>
      <c r="G13" s="41" t="inlineStr">
        <is>
          <t>All-World Core</t>
        </is>
      </c>
      <c r="H13" s="42" t="inlineStr">
        <is>
          <t>FTSE All-World tracker. 3,700+ stocks across 49 countries. Ultimate diversification anchor.</t>
        </is>
      </c>
    </row>
    <row r="14" ht="51.75" customHeight="1" s="24">
      <c r="A14" s="29" t="inlineStr">
        <is>
          <t>GLGG</t>
        </is>
      </c>
      <c r="B14" s="30" t="inlineStr">
        <is>
          <t>L&amp;G Clean Water ETF</t>
        </is>
      </c>
      <c r="C14" s="31" t="n">
        <v>487</v>
      </c>
      <c r="D14" s="32" t="inlineStr">
        <is>
          <t>9.5% (5-Yr)</t>
        </is>
      </c>
      <c r="E14" s="33" t="n">
        <v>4708</v>
      </c>
      <c r="F14" s="32" t="inlineStr">
        <is>
          <t>Accumulating</t>
        </is>
      </c>
      <c r="G14" s="34" t="inlineStr">
        <is>
          <t>Clean Water</t>
        </is>
      </c>
      <c r="H14" s="35" t="inlineStr">
        <is>
          <t>Global clean water infrastructure. Secular demand growth from urbanisation &amp; climate adaptation.</t>
        </is>
      </c>
    </row>
    <row r="15" ht="51.75" customHeight="1" s="24">
      <c r="A15" s="36" t="inlineStr">
        <is>
          <t>URNP</t>
        </is>
      </c>
      <c r="B15" s="37" t="inlineStr">
        <is>
          <t>Sprott Uranium Miners ETF</t>
        </is>
      </c>
      <c r="C15" s="38" t="n">
        <v>437</v>
      </c>
      <c r="D15" s="39" t="inlineStr">
        <is>
          <t>45.1% (3-Yr)</t>
        </is>
      </c>
      <c r="E15" s="40" t="n">
        <v>4810240</v>
      </c>
      <c r="F15" s="39" t="inlineStr">
        <is>
          <t>~0.5%</t>
        </is>
      </c>
      <c r="G15" s="41" t="inlineStr">
        <is>
          <t>Nuclear Power</t>
        </is>
      </c>
      <c r="H15" s="42" t="inlineStr">
        <is>
          <t>Uranium miners basket. Riding the nuclear renaissance for AI data center power. Extremely high recent returns.</t>
        </is>
      </c>
    </row>
    <row r="16" ht="51.75" customHeight="1" s="24">
      <c r="A16" s="29" t="inlineStr">
        <is>
          <t>SEMG</t>
        </is>
      </c>
      <c r="B16" s="30" t="inlineStr">
        <is>
          <t>L&amp;G MSCI ESG Screened ETF</t>
        </is>
      </c>
      <c r="C16" s="31" t="n">
        <v>380</v>
      </c>
      <c r="D16" s="32" t="inlineStr">
        <is>
          <t>11.3% (5-Yr)</t>
        </is>
      </c>
      <c r="E16" s="33" t="n">
        <v>5523</v>
      </c>
      <c r="F16" s="32" t="inlineStr">
        <is>
          <t>~1.5%</t>
        </is>
      </c>
      <c r="G16" s="34" t="inlineStr">
        <is>
          <t>ESG Screened</t>
        </is>
      </c>
      <c r="H16" s="35" t="inlineStr">
        <is>
          <t>ESG-screened global equity. Excludes controversial sectors. Sustainable investing with broad market returns.</t>
        </is>
      </c>
    </row>
    <row r="17" ht="51.75" customHeight="1" s="24">
      <c r="A17" s="36" t="inlineStr">
        <is>
          <t>GJGB</t>
        </is>
      </c>
      <c r="B17" s="37" t="inlineStr">
        <is>
          <t>VanEck Junior Gold Miners ETF</t>
        </is>
      </c>
      <c r="C17" s="38" t="n">
        <v>313</v>
      </c>
      <c r="D17" s="39" t="inlineStr">
        <is>
          <t>18.2% (5-Yr)</t>
        </is>
      </c>
      <c r="E17" s="40" t="n">
        <v>20464</v>
      </c>
      <c r="F17" s="39" t="inlineStr">
        <is>
          <t>~0.8%</t>
        </is>
      </c>
      <c r="G17" s="41" t="inlineStr">
        <is>
          <t>Junior Gold</t>
        </is>
      </c>
      <c r="H17" s="42" t="inlineStr">
        <is>
          <t>Small-cap gold miners. Higher risk/reward vs. senior miners. Exploration &amp; development stage leverage.</t>
        </is>
      </c>
    </row>
    <row r="18" ht="51.75" customHeight="1" s="24">
      <c r="A18" s="29" t="inlineStr">
        <is>
          <t>SMGB</t>
        </is>
      </c>
      <c r="B18" s="30" t="inlineStr">
        <is>
          <t>L&amp;G US Semiconductors ETF</t>
        </is>
      </c>
      <c r="C18" s="31" t="n">
        <v>276</v>
      </c>
      <c r="D18" s="32" t="inlineStr">
        <is>
          <t>28.1% (5-Yr)</t>
        </is>
      </c>
      <c r="E18" s="33" t="n">
        <v>134784</v>
      </c>
      <c r="F18" s="32" t="inlineStr">
        <is>
          <t>Accumulating</t>
        </is>
      </c>
      <c r="G18" s="34" t="inlineStr">
        <is>
          <t>Chip Power</t>
        </is>
      </c>
      <c r="H18" s="35" t="inlineStr">
        <is>
          <t>US semiconductor sector concentration. AI chip boom beneficiary. Nvidia, AMD, Broadcom heavy weighting.</t>
        </is>
      </c>
    </row>
    <row r="19" ht="51.75" customHeight="1" s="24">
      <c r="A19" s="36" t="inlineStr">
        <is>
          <t>ISPY</t>
        </is>
      </c>
      <c r="B19" s="37" t="inlineStr">
        <is>
          <t>L&amp;G Cyber Security ETF</t>
        </is>
      </c>
      <c r="C19" s="38" t="n">
        <v>242</v>
      </c>
      <c r="D19" s="39" t="inlineStr">
        <is>
          <t>13.9% (5-Yr)</t>
        </is>
      </c>
      <c r="E19" s="40" t="n">
        <v>6265</v>
      </c>
      <c r="F19" s="39" t="inlineStr">
        <is>
          <t>Accumulating</t>
        </is>
      </c>
      <c r="G19" s="41" t="inlineStr">
        <is>
          <t>Cyber Defense</t>
        </is>
      </c>
      <c r="H19" s="42" t="inlineStr">
        <is>
          <t>Cybersecurity sector ETF. Protecting data centers &amp; blockchain rails from cyber warfare. Growing threat spend.</t>
        </is>
      </c>
    </row>
    <row r="20" ht="51.75" customHeight="1" s="24">
      <c r="A20" s="29" t="inlineStr">
        <is>
          <t>ROBG</t>
        </is>
      </c>
      <c r="B20" s="30" t="inlineStr">
        <is>
          <t>L&amp;G ROBO Global Robotics ETF</t>
        </is>
      </c>
      <c r="C20" s="31" t="n">
        <v>238</v>
      </c>
      <c r="D20" s="32" t="inlineStr">
        <is>
          <t>9.8% (5-Yr)</t>
        </is>
      </c>
      <c r="E20" s="33" t="n">
        <v>2464</v>
      </c>
      <c r="F20" s="32" t="inlineStr">
        <is>
          <t>Accumulating</t>
        </is>
      </c>
      <c r="G20" s="34" t="inlineStr">
        <is>
          <t>Robotics &amp; AI</t>
        </is>
      </c>
      <c r="H20" s="35" t="inlineStr">
        <is>
          <t>Global robotics &amp; automation. Factory automation, surgical robots, autonomous systems. Long-term secular growth.</t>
        </is>
      </c>
    </row>
    <row r="21" ht="51.75" customHeight="1" s="24">
      <c r="A21" s="36" t="inlineStr">
        <is>
          <t>DOCG</t>
        </is>
      </c>
      <c r="B21" s="37" t="inlineStr">
        <is>
          <t>L&amp;G Healthcare Breakthrough ETF</t>
        </is>
      </c>
      <c r="C21" s="38" t="n">
        <v>47</v>
      </c>
      <c r="D21" s="39" t="inlineStr">
        <is>
          <t>7.9% (3-Yr)</t>
        </is>
      </c>
      <c r="E21" s="40" t="n">
        <v>315</v>
      </c>
      <c r="F21" s="39" t="inlineStr">
        <is>
          <t>Accumulating</t>
        </is>
      </c>
      <c r="G21" s="41" t="inlineStr">
        <is>
          <t>Healthcare</t>
        </is>
      </c>
      <c r="H21" s="42" t="inlineStr">
        <is>
          <t>Innovative healthcare companies. Genomics, medtech &amp; biotech. Small allocation for diversification.</t>
        </is>
      </c>
    </row>
    <row r="22" ht="51.75" customHeight="1" s="24">
      <c r="A22" s="29" t="inlineStr">
        <is>
          <t>TFIF.L</t>
        </is>
      </c>
      <c r="B22" s="30" t="inlineStr">
        <is>
          <t>TwentyFour Income Fund</t>
        </is>
      </c>
      <c r="C22" s="31" t="n">
        <v>2000</v>
      </c>
      <c r="D22" s="32" t="inlineStr">
        <is>
          <t>8.5% (5-Yr)</t>
        </is>
      </c>
      <c r="E22" s="33" t="n">
        <v>15374</v>
      </c>
      <c r="F22" s="32" t="inlineStr">
        <is>
          <t>~8.5% (Monthly)</t>
        </is>
      </c>
      <c r="G22" s="34" t="inlineStr">
        <is>
          <t>Monthly Anchor</t>
        </is>
      </c>
      <c r="H22" s="35" t="inlineStr">
        <is>
          <t>High-yield asset-backed European debt. Reliable cash flow "heartbeat." Quarterly distributions. Defensive income.</t>
        </is>
      </c>
    </row>
    <row r="23" ht="51.75" customHeight="1" s="24">
      <c r="A23" s="36" t="inlineStr">
        <is>
          <t>IUKD.L</t>
        </is>
      </c>
      <c r="B23" s="37" t="inlineStr">
        <is>
          <t>iShares UK Dividend ETF</t>
        </is>
      </c>
      <c r="C23" s="38" t="n">
        <v>2000</v>
      </c>
      <c r="D23" s="39" t="inlineStr">
        <is>
          <t>6.0% (5-Yr)</t>
        </is>
      </c>
      <c r="E23" s="40" t="n">
        <v>8584</v>
      </c>
      <c r="F23" s="39" t="inlineStr">
        <is>
          <t>~6.0% (Quarterly)</t>
        </is>
      </c>
      <c r="G23" s="41" t="inlineStr">
        <is>
          <t>Equity Income</t>
        </is>
      </c>
      <c r="H23" s="42" t="inlineStr">
        <is>
          <t>Top 50 highest-yielding UK stocks. Stable, diversified dividend base. Quarterly income.</t>
        </is>
      </c>
    </row>
    <row r="24" ht="51.75" customHeight="1" s="24">
      <c r="A24" s="29" t="inlineStr">
        <is>
          <t>UKW.L</t>
        </is>
      </c>
      <c r="B24" s="30" t="inlineStr">
        <is>
          <t>Greencoat UK Wind</t>
        </is>
      </c>
      <c r="C24" s="31" t="n">
        <v>1500</v>
      </c>
      <c r="D24" s="32" t="inlineStr">
        <is>
          <t>7.1% (5-Yr)</t>
        </is>
      </c>
      <c r="E24" s="33" t="n">
        <v>8334</v>
      </c>
      <c r="F24" s="32" t="inlineStr">
        <is>
          <t>~7.1% (Quarterly)</t>
        </is>
      </c>
      <c r="G24" s="34" t="inlineStr">
        <is>
          <t>Green Electrons</t>
        </is>
      </c>
      <c r="H24" s="35" t="inlineStr">
        <is>
          <t>Sells wind power to UK data centers. Dividend explicitly rises with RPI inflation. Infrastructure trust.</t>
        </is>
      </c>
    </row>
    <row r="25" ht="51.75" customHeight="1" s="24">
      <c r="A25" s="36" t="inlineStr">
        <is>
          <t>NESF.L</t>
        </is>
      </c>
      <c r="B25" s="37" t="inlineStr">
        <is>
          <t>NextEnergy Solar Fund</t>
        </is>
      </c>
      <c r="C25" s="38" t="n">
        <v>1500</v>
      </c>
      <c r="D25" s="39" t="inlineStr">
        <is>
          <t>10.2% (5-Yr)</t>
        </is>
      </c>
      <c r="E25" s="40" t="n">
        <v>17007</v>
      </c>
      <c r="F25" s="39" t="inlineStr">
        <is>
          <t>~10.2% (Quarterly)</t>
        </is>
      </c>
      <c r="G25" s="41" t="inlineStr">
        <is>
          <t>Solar Infra</t>
        </is>
      </c>
      <c r="H25" s="42" t="inlineStr">
        <is>
          <t>Pure solar assets. High yield, locking in long-term power contracts. Renewable energy infrastructure.</t>
        </is>
      </c>
    </row>
    <row r="26" ht="51.75" customHeight="1" s="24">
      <c r="A26" s="29" t="inlineStr">
        <is>
          <t>BRWM.L</t>
        </is>
      </c>
      <c r="B26" s="30" t="inlineStr">
        <is>
          <t>BlackRock World Mining Trust</t>
        </is>
      </c>
      <c r="C26" s="31" t="n">
        <v>1500</v>
      </c>
      <c r="D26" s="32" t="inlineStr">
        <is>
          <t>5.8% (5-Yr)</t>
        </is>
      </c>
      <c r="E26" s="33" t="n">
        <v>6141</v>
      </c>
      <c r="F26" s="32" t="inlineStr">
        <is>
          <t>~5.8% (Quarterly)</t>
        </is>
      </c>
      <c r="G26" s="34" t="inlineStr">
        <is>
          <t>Royalty King</t>
        </is>
      </c>
      <c r="H26" s="35" t="inlineStr">
        <is>
          <t>Diversified Miner. Holds Rio, Vale, Glencore. Captures the commodity super-cycle. Quarterly distributions.</t>
        </is>
      </c>
    </row>
    <row r="27" ht="51.75" customHeight="1" s="24">
      <c r="A27" s="36" t="inlineStr">
        <is>
          <t>GCP.L</t>
        </is>
      </c>
      <c r="B27" s="37" t="inlineStr">
        <is>
          <t>GCP Infrastructure Investments</t>
        </is>
      </c>
      <c r="C27" s="38" t="n">
        <v>1500</v>
      </c>
      <c r="D27" s="39" t="inlineStr">
        <is>
          <t>8.9% (5-Yr)</t>
        </is>
      </c>
      <c r="E27" s="40" t="n">
        <v>12641</v>
      </c>
      <c r="F27" s="39" t="inlineStr">
        <is>
          <t>~8.9% (Quarterly)</t>
        </is>
      </c>
      <c r="G27" s="41" t="inlineStr">
        <is>
          <t>Smart City Debt</t>
        </is>
      </c>
      <c r="H27" s="42" t="inlineStr">
        <is>
          <t>Lends to social housing &amp; waste power. Defensive, high-yield debt play. Quarterly distributions.</t>
        </is>
      </c>
    </row>
    <row r="28" ht="30" customHeight="1" s="24">
      <c r="A28" s="43" t="inlineStr">
        <is>
          <t>TOTAL</t>
        </is>
      </c>
      <c r="B28" s="44" t="inlineStr">
        <is>
          <t>Budget: £20,372</t>
        </is>
      </c>
      <c r="C28" s="45">
        <f>SUM(C6:C27)</f>
        <v/>
      </c>
      <c r="D28" s="46" t="n"/>
      <c r="E28" s="47">
        <f>SUM(E6:E27)</f>
        <v/>
      </c>
      <c r="F28" s="46" t="n"/>
      <c r="G28" s="46" t="n"/>
      <c r="H28" s="46" t="n"/>
    </row>
  </sheetData>
  <mergeCells count="3">
    <mergeCell ref="A3:H3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2026-02-23T22:46:04Z</dcterms:created>
  <dcterms:modified xmlns:dcterms="http://purl.org/dc/terms/" xmlns:xsi="http://www.w3.org/2001/XMLSchema-instance" xsi:type="dcterms:W3CDTF">2026-02-23T23:03:33Z</dcterms:modified>
  <cp:revision>0</cp:revision>
</cp:coreProperties>
</file>